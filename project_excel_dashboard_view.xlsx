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omments1.xml" ContentType="application/vnd.openxmlformats-officedocument.spreadsheetml.comments+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DELL\OneDrive\Desktop-Old Comp Win10. WL,TIA,\Data Science\Project- Global Consumer Spending Trend Analysis (2024)\Git_Repo\"/>
    </mc:Choice>
  </mc:AlternateContent>
  <xr:revisionPtr revIDLastSave="0" documentId="13_ncr:1_{E1C84768-7106-4110-ABD7-30260F6E604E}" xr6:coauthVersionLast="47" xr6:coauthVersionMax="47" xr10:uidLastSave="{00000000-0000-0000-0000-000000000000}"/>
  <bookViews>
    <workbookView xWindow="-120" yWindow="-120" windowWidth="20730" windowHeight="11040" firstSheet="1" activeTab="4" xr2:uid="{48895DF2-DC46-402D-AE44-6BE281E68528}"/>
  </bookViews>
  <sheets>
    <sheet name="project_excel_dashboard_view.." sheetId="1" state="hidden" r:id="rId1"/>
    <sheet name="project_excel_dashboard_view" sheetId="4" r:id="rId2"/>
    <sheet name="Summary" sheetId="2" r:id="rId3"/>
    <sheet name="YOY" sheetId="5" state="hidden" r:id="rId4"/>
    <sheet name="Dashboard" sheetId="3" r:id="rId5"/>
  </sheets>
  <definedNames>
    <definedName name="Slicer_Region">#N/A</definedName>
    <definedName name="Slicer_Region1">#N/A</definedName>
    <definedName name="Slicer_Region2">#N/A</definedName>
    <definedName name="Slicer_Year">#N/A</definedName>
    <definedName name="Slicer_Year1">#N/A</definedName>
    <definedName name="Slicer_Year2">#N/A</definedName>
  </definedNames>
  <calcPr calcId="181029"/>
  <pivotCaches>
    <pivotCache cacheId="7"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E10" i="4" l="1"/>
  <c r="D76" i="4"/>
  <c r="E76" i="4" s="1"/>
  <c r="F76" i="4" s="1"/>
  <c r="D75" i="4"/>
  <c r="E75" i="4" s="1"/>
  <c r="F75" i="4" s="1"/>
  <c r="D74" i="4"/>
  <c r="E74" i="4" s="1"/>
  <c r="F74" i="4" s="1"/>
  <c r="D73" i="4"/>
  <c r="E73" i="4" s="1"/>
  <c r="F73" i="4" s="1"/>
  <c r="D72" i="4"/>
  <c r="E72" i="4" s="1"/>
  <c r="F72" i="4" s="1"/>
  <c r="D71" i="4"/>
  <c r="E71" i="4" s="1"/>
  <c r="F71" i="4" s="1"/>
  <c r="D70" i="4"/>
  <c r="E70" i="4" s="1"/>
  <c r="F70" i="4" s="1"/>
  <c r="D69" i="4"/>
  <c r="E69" i="4" s="1"/>
  <c r="F69" i="4" s="1"/>
  <c r="D68" i="4"/>
  <c r="E68" i="4" s="1"/>
  <c r="F68" i="4" s="1"/>
  <c r="D67" i="4"/>
  <c r="E67" i="4" s="1"/>
  <c r="F67" i="4" s="1"/>
  <c r="D66" i="4"/>
  <c r="E66" i="4" s="1"/>
  <c r="F66" i="4" s="1"/>
  <c r="D65" i="4"/>
  <c r="E65" i="4" s="1"/>
  <c r="F65" i="4" s="1"/>
  <c r="D64" i="4"/>
  <c r="E64" i="4" s="1"/>
  <c r="F64" i="4" s="1"/>
  <c r="D63" i="4"/>
  <c r="E63" i="4" s="1"/>
  <c r="F63" i="4" s="1"/>
  <c r="D62" i="4"/>
  <c r="E62" i="4" s="1"/>
  <c r="F62" i="4" s="1"/>
  <c r="D61" i="4"/>
  <c r="E61" i="4" s="1"/>
  <c r="F61" i="4" s="1"/>
  <c r="D60" i="4"/>
  <c r="E60" i="4" s="1"/>
  <c r="F60" i="4" s="1"/>
  <c r="D59" i="4"/>
  <c r="E59" i="4" s="1"/>
  <c r="F59" i="4" s="1"/>
  <c r="D58" i="4"/>
  <c r="E58" i="4" s="1"/>
  <c r="F58" i="4" s="1"/>
  <c r="D57" i="4"/>
  <c r="E57" i="4" s="1"/>
  <c r="F57" i="4" s="1"/>
  <c r="D56" i="4"/>
  <c r="E56" i="4" s="1"/>
  <c r="F56" i="4" s="1"/>
  <c r="D55" i="4"/>
  <c r="E55" i="4" s="1"/>
  <c r="F55" i="4" s="1"/>
  <c r="D54" i="4"/>
  <c r="E54" i="4" s="1"/>
  <c r="F54" i="4" s="1"/>
  <c r="D53" i="4"/>
  <c r="E53" i="4" s="1"/>
  <c r="F53" i="4" s="1"/>
  <c r="D52" i="4"/>
  <c r="E52" i="4" s="1"/>
  <c r="F52" i="4" s="1"/>
  <c r="D51" i="4"/>
  <c r="E51" i="4" s="1"/>
  <c r="F51" i="4" s="1"/>
  <c r="D50" i="4"/>
  <c r="E50" i="4" s="1"/>
  <c r="F50" i="4" s="1"/>
  <c r="D49" i="4"/>
  <c r="E49" i="4" s="1"/>
  <c r="F49" i="4" s="1"/>
  <c r="D48" i="4"/>
  <c r="E48" i="4" s="1"/>
  <c r="F48" i="4" s="1"/>
  <c r="D47" i="4"/>
  <c r="E47" i="4" s="1"/>
  <c r="F47" i="4" s="1"/>
  <c r="D46" i="4"/>
  <c r="E46" i="4" s="1"/>
  <c r="F46" i="4" s="1"/>
  <c r="D45" i="4"/>
  <c r="E45" i="4" s="1"/>
  <c r="F45" i="4" s="1"/>
  <c r="D44" i="4"/>
  <c r="E44" i="4" s="1"/>
  <c r="F44" i="4" s="1"/>
  <c r="D43" i="4"/>
  <c r="E43" i="4" s="1"/>
  <c r="F43" i="4" s="1"/>
  <c r="D42" i="4"/>
  <c r="E42" i="4" s="1"/>
  <c r="F42" i="4" s="1"/>
  <c r="D41" i="4"/>
  <c r="E41" i="4" s="1"/>
  <c r="F41" i="4" s="1"/>
  <c r="D40" i="4"/>
  <c r="E40" i="4" s="1"/>
  <c r="F40" i="4" s="1"/>
  <c r="D39" i="4"/>
  <c r="E39" i="4" s="1"/>
  <c r="F39" i="4" s="1"/>
  <c r="D38" i="4"/>
  <c r="E38" i="4" s="1"/>
  <c r="F38" i="4" s="1"/>
  <c r="D37" i="4"/>
  <c r="E37" i="4" s="1"/>
  <c r="F37" i="4" s="1"/>
  <c r="D36" i="4"/>
  <c r="E36" i="4" s="1"/>
  <c r="F36" i="4" s="1"/>
  <c r="D35" i="4"/>
  <c r="E35" i="4" s="1"/>
  <c r="F35" i="4" s="1"/>
  <c r="D34" i="4"/>
  <c r="E34" i="4" s="1"/>
  <c r="F34" i="4" s="1"/>
  <c r="D33" i="4"/>
  <c r="E33" i="4" s="1"/>
  <c r="F33" i="4" s="1"/>
  <c r="D32" i="4"/>
  <c r="E32" i="4" s="1"/>
  <c r="F32" i="4" s="1"/>
  <c r="D31" i="4"/>
  <c r="E31" i="4" s="1"/>
  <c r="F31" i="4" s="1"/>
  <c r="D30" i="4"/>
  <c r="E30" i="4" s="1"/>
  <c r="F30" i="4" s="1"/>
  <c r="D29" i="4"/>
  <c r="E29" i="4" s="1"/>
  <c r="F29" i="4" s="1"/>
  <c r="D28" i="4"/>
  <c r="E28" i="4" s="1"/>
  <c r="F28" i="4" s="1"/>
  <c r="D27" i="4"/>
  <c r="E27" i="4" s="1"/>
  <c r="F27" i="4" s="1"/>
  <c r="D26" i="4"/>
  <c r="E26" i="4" s="1"/>
  <c r="F26" i="4" s="1"/>
  <c r="D25" i="4"/>
  <c r="E25" i="4" s="1"/>
  <c r="F25" i="4" s="1"/>
  <c r="D24" i="4"/>
  <c r="E24" i="4" s="1"/>
  <c r="F24" i="4" s="1"/>
  <c r="D23" i="4"/>
  <c r="E23" i="4" s="1"/>
  <c r="F23" i="4" s="1"/>
  <c r="D22" i="4"/>
  <c r="E22" i="4" s="1"/>
  <c r="F22" i="4" s="1"/>
  <c r="D21" i="4"/>
  <c r="E21" i="4" s="1"/>
  <c r="F21" i="4" s="1"/>
  <c r="D20" i="4"/>
  <c r="E20" i="4" s="1"/>
  <c r="F20" i="4" s="1"/>
  <c r="D19" i="4"/>
  <c r="E19" i="4" s="1"/>
  <c r="F19" i="4" s="1"/>
  <c r="D18" i="4"/>
  <c r="E18" i="4" s="1"/>
  <c r="F18" i="4" s="1"/>
  <c r="D17" i="4"/>
  <c r="E17" i="4" s="1"/>
  <c r="F17" i="4" s="1"/>
  <c r="D16" i="4"/>
  <c r="E16" i="4" s="1"/>
  <c r="F16" i="4" s="1"/>
  <c r="D15" i="4"/>
  <c r="E15" i="4" s="1"/>
  <c r="F15" i="4" s="1"/>
  <c r="D14" i="4"/>
  <c r="E14" i="4" s="1"/>
  <c r="F14" i="4" s="1"/>
  <c r="D13" i="4"/>
  <c r="E13" i="4" s="1"/>
  <c r="F13" i="4" s="1"/>
  <c r="D12" i="4"/>
  <c r="E12" i="4" s="1"/>
  <c r="F12" i="4" s="1"/>
  <c r="D11" i="4"/>
  <c r="E11" i="4" s="1"/>
  <c r="F11" i="4" s="1"/>
  <c r="D10" i="4"/>
  <c r="D9" i="4"/>
  <c r="E9" i="4" s="1"/>
  <c r="F9" i="4" s="1"/>
  <c r="D8" i="4"/>
  <c r="E8" i="4" s="1"/>
  <c r="F8" i="4" s="1"/>
  <c r="D7" i="4"/>
  <c r="E7" i="4" s="1"/>
  <c r="F7" i="4" s="1"/>
  <c r="D6" i="4"/>
  <c r="D5" i="4"/>
  <c r="D4" i="4"/>
  <c r="D3" i="4"/>
  <c r="D2" i="4"/>
  <c r="B10" i="3"/>
  <c r="C6" i="3"/>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C10" i="3"/>
  <c r="F1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D3" authorId="0" shapeId="0" xr:uid="{990F6E24-D61C-4B6A-A9E7-BF2D554D816A}">
      <text>
        <r>
          <rPr>
            <b/>
            <sz val="9"/>
            <color indexed="81"/>
            <rFont val="Tahoma"/>
            <family val="2"/>
          </rPr>
          <t>DELL:</t>
        </r>
        <r>
          <rPr>
            <sz val="9"/>
            <color indexed="81"/>
            <rFont val="Tahoma"/>
            <family val="2"/>
          </rPr>
          <t xml:space="preserve">
Using a PivotTable
If you build a PivotTable with Year in Rows and Spending in Values:
Right-click a value cell in the Values area → Show Values As → % Difference From.
In the dialog choose Base field = Year, Base item = (previous).
This automatically shows YoY % in the PivotTable — no manual formulas.</t>
        </r>
      </text>
    </comment>
  </commentList>
</comments>
</file>

<file path=xl/sharedStrings.xml><?xml version="1.0" encoding="utf-8"?>
<sst xmlns="http://schemas.openxmlformats.org/spreadsheetml/2006/main" count="204" uniqueCount="23">
  <si>
    <t>Year</t>
  </si>
  <si>
    <t>Region</t>
  </si>
  <si>
    <t>Consumer_Spending_Billion_USD</t>
  </si>
  <si>
    <t>North America</t>
  </si>
  <si>
    <t>Europe</t>
  </si>
  <si>
    <t>Asia-Pacific</t>
  </si>
  <si>
    <t>Latin America</t>
  </si>
  <si>
    <t>Middle East &amp; Africa</t>
  </si>
  <si>
    <t>Row Labels</t>
  </si>
  <si>
    <t>Grand Total</t>
  </si>
  <si>
    <t>Sum of Consumer_Spending_Billion_USD</t>
  </si>
  <si>
    <t>Column Labels</t>
  </si>
  <si>
    <t>Global Consumer Spending Dashboard 2010–2024</t>
  </si>
  <si>
    <t>KPI cards:</t>
  </si>
  <si>
    <t>Total Consumer Spending</t>
  </si>
  <si>
    <r>
      <t>Goal:</t>
    </r>
    <r>
      <rPr>
        <sz val="11"/>
        <color theme="1"/>
        <rFont val="Calibri"/>
        <family val="2"/>
        <scheme val="minor"/>
      </rPr>
      <t xml:space="preserve"> Analyze which regions grew fastest over time.</t>
    </r>
  </si>
  <si>
    <r>
      <t>Goal:</t>
    </r>
    <r>
      <rPr>
        <sz val="11"/>
        <color theme="1"/>
        <rFont val="Calibri"/>
        <family val="2"/>
        <scheme val="minor"/>
      </rPr>
      <t xml:space="preserve"> Compare spending between regions.</t>
    </r>
  </si>
  <si>
    <r>
      <t>Goal:</t>
    </r>
    <r>
      <rPr>
        <sz val="11"/>
        <color theme="1"/>
        <rFont val="Calibri"/>
        <family val="2"/>
        <scheme val="minor"/>
      </rPr>
      <t xml:space="preserve"> Show spending trend from 2010–2024.</t>
    </r>
  </si>
  <si>
    <t>Top Region by Spending</t>
  </si>
  <si>
    <t>Year-over-Year Spending Growth (%)</t>
  </si>
  <si>
    <t>Column1</t>
  </si>
  <si>
    <t>Year over Year Growth</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</si>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</sst>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4"/>
      <color theme="1"/>
      <name val="Calibri"/>
      <family val="2"/>
      <scheme val="minor"/>
    </font>
    <font>
      <sz val="9"/>
      <color indexed="81"/>
      <name val="Tahoma"/>
      <family val="2"/>
    </font>
    <font>
      <b/>
      <sz val="9"/>
      <color indexed="81"/>
      <name val="Tahoma"/>
      <family val="2"/>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6"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0" fontId="0" fillId="0" borderId="0" xfId="0" applyNumberFormat="1"/>
    <xf numFmtId="0" fontId="16" fillId="0" borderId="0" xfId="0" applyFont="1"/>
    <xf numFmtId="10" fontId="0" fillId="0" borderId="0" xfId="0" applyNumberFormat="1"/>
    <xf numFmtId="0" fontId="18" fillId="33" borderId="0" xfId="0" applyFont="1" applyFill="1" applyAlignment="1">
      <alignment horizontal="center" vertical="center" wrapText="1"/>
    </xf>
    <xf numFmtId="0" fontId="0" fillId="34" borderId="0" xfId="0" applyFill="1"/>
    <xf numFmtId="0" fontId="16" fillId="34" borderId="0" xfId="0" applyFont="1" applyFill="1"/>
    <xf numFmtId="0" fontId="0" fillId="34" borderId="0" xfId="0" applyFill="1" applyAlignment="1">
      <alignment horizontal="center"/>
    </xf>
    <xf numFmtId="0" fontId="0" fillId="34" borderId="0" xfId="0" applyFill="1" applyAlignment="1">
      <alignment horizontal="center" wrapText="1"/>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[project_excel_dashboard_view.xlsx]Summary!PivotTable1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Consumer Spending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Summary!$B$3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Summary!$A$4:$A$18</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Summary!$B$4:$B$18</c:f>
              <c:numCache>
                <c:formatCode>General</c:formatCode>
                <c:ptCount val="15"/>
                <c:pt idx="0">
                  <c:v>5582</c:v>
                </c:pt>
                <c:pt idx="1">
                  <c:v>5932</c:v>
                </c:pt>
                <c:pt idx="2">
                  <c:v>6282</c:v>
                </c:pt>
                <c:pt idx="3">
                  <c:v>6632</c:v>
                </c:pt>
                <c:pt idx="4">
                  <c:v>6982</c:v>
                </c:pt>
                <c:pt idx="5">
                  <c:v>6832</c:v>
                </c:pt>
                <c:pt idx="6">
                  <c:v>7182</c:v>
                </c:pt>
                <c:pt idx="7">
                  <c:v>7532</c:v>
                </c:pt>
                <c:pt idx="8">
                  <c:v>7882</c:v>
                </c:pt>
                <c:pt idx="9">
                  <c:v>8232</c:v>
                </c:pt>
                <c:pt idx="10">
                  <c:v>8082</c:v>
                </c:pt>
                <c:pt idx="11">
                  <c:v>8432</c:v>
                </c:pt>
                <c:pt idx="12">
                  <c:v>8782</c:v>
                </c:pt>
                <c:pt idx="13">
                  <c:v>9132</c:v>
                </c:pt>
                <c:pt idx="14">
                  <c:v>9482</c:v>
                </c:pt>
              </c:numCache>
            </c:numRef>
          </c:val>
          <c:smooth val="0"/>
          <c:extLst>
            <c:ext xmlns:c16="http://schemas.microsoft.com/office/drawing/2014/chart" uri="{C3380CC4-5D6E-409C-BE32-E72D297353CC}">
              <c16:uniqueId val="{00000000-A32C-4F6A-9F12-23E0A063C399}"/>
            </c:ext>
          </c:extLst>
        </c:ser>
        <c:dLbls>
          <c:showLegendKey val="0"/>
          <c:showVal val="0"/>
          <c:showCatName val="0"/>
          <c:showSerName val="0"/>
          <c:showPercent val="0"/>
          <c:showBubbleSize val="0"/>
        </c:dLbls>
        <c:marker val="1"/>
        <c:smooth val="0"/>
        <c:axId val="1772942671"/>
        <c:axId val="1772949871"/>
      </c:lineChart>
      <c:catAx>
        <c:axId val="1772942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949871"/>
        <c:crosses val="autoZero"/>
        <c:auto val="1"/>
        <c:lblAlgn val="ctr"/>
        <c:lblOffset val="100"/>
        <c:noMultiLvlLbl val="0"/>
      </c:catAx>
      <c:valAx>
        <c:axId val="177294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94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[project_excel_dashboard_view.xlsx]Summary!PivotTable3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Consumer Spending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Summary!$B$23</c:f>
              <c:strCache>
                <c:ptCount val="1"/>
                <c:pt idx="0">
                  <c:v>Total</c:v>
                </c:pt>
              </c:strCache>
            </c:strRef>
          </c:tx>
          <c:spPr>
            <a:solidFill>
              <a:schemeClr val="accent1"/>
            </a:solidFill>
            <a:ln>
              <a:noFill/>
            </a:ln>
            <a:effectLst/>
          </c:spPr>
          <c:invertIfNegative val="0"/>
          <c:cat>
            <c:strRef>
              <c:f>Summary!$A$24:$A$28</c:f>
              <c:strCache>
                <c:ptCount val="5"/>
                <c:pt idx="0">
                  <c:v>Asia-Pacific</c:v>
                </c:pt>
                <c:pt idx="1">
                  <c:v>Europe</c:v>
                </c:pt>
                <c:pt idx="2">
                  <c:v>Latin America</c:v>
                </c:pt>
                <c:pt idx="3">
                  <c:v>Middle East &amp; Africa</c:v>
                </c:pt>
                <c:pt idx="4">
                  <c:v>North America</c:v>
                </c:pt>
              </c:strCache>
            </c:strRef>
          </c:cat>
          <c:val>
            <c:numRef>
              <c:f>Summary!$B$24:$B$28</c:f>
              <c:numCache>
                <c:formatCode>General</c:formatCode>
                <c:ptCount val="5"/>
                <c:pt idx="0">
                  <c:v>20880</c:v>
                </c:pt>
                <c:pt idx="1">
                  <c:v>22170</c:v>
                </c:pt>
                <c:pt idx="2">
                  <c:v>22980</c:v>
                </c:pt>
                <c:pt idx="3">
                  <c:v>23685</c:v>
                </c:pt>
                <c:pt idx="4">
                  <c:v>23265</c:v>
                </c:pt>
              </c:numCache>
            </c:numRef>
          </c:val>
          <c:extLst>
            <c:ext xmlns:c16="http://schemas.microsoft.com/office/drawing/2014/chart" uri="{C3380CC4-5D6E-409C-BE32-E72D297353CC}">
              <c16:uniqueId val="{00000000-FDFA-4257-B6F9-EDF3E1728D85}"/>
            </c:ext>
          </c:extLst>
        </c:ser>
        <c:dLbls>
          <c:showLegendKey val="0"/>
          <c:showVal val="0"/>
          <c:showCatName val="0"/>
          <c:showSerName val="0"/>
          <c:showPercent val="0"/>
          <c:showBubbleSize val="0"/>
        </c:dLbls>
        <c:gapWidth val="219"/>
        <c:overlap val="-27"/>
        <c:axId val="1772983471"/>
        <c:axId val="1772977231"/>
      </c:barChart>
      <c:catAx>
        <c:axId val="1772983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977231"/>
        <c:crosses val="autoZero"/>
        <c:auto val="1"/>
        <c:lblAlgn val="ctr"/>
        <c:lblOffset val="100"/>
        <c:noMultiLvlLbl val="0"/>
      </c:catAx>
      <c:valAx>
        <c:axId val="1772977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983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[project_excel_dashboard_view.xlsx]Summary!PivotTable4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Spending by Year and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Summary!$B$33:$B$34</c:f>
              <c:strCache>
                <c:ptCount val="1"/>
                <c:pt idx="0">
                  <c:v>Asia-Pacific</c:v>
                </c:pt>
              </c:strCache>
            </c:strRef>
          </c:tx>
          <c:spPr>
            <a:solidFill>
              <a:schemeClr val="accent1"/>
            </a:solidFill>
            <a:ln>
              <a:noFill/>
            </a:ln>
            <a:effectLst/>
          </c:spPr>
          <c:invertIfNegative val="0"/>
          <c:cat>
            <c:strRef>
              <c:f>Summary!$A$35:$A$49</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Summary!$B$35:$B$49</c:f>
              <c:numCache>
                <c:formatCode>General</c:formatCode>
                <c:ptCount val="15"/>
                <c:pt idx="0">
                  <c:v>1002</c:v>
                </c:pt>
                <c:pt idx="1">
                  <c:v>1072</c:v>
                </c:pt>
                <c:pt idx="2">
                  <c:v>1142</c:v>
                </c:pt>
                <c:pt idx="3">
                  <c:v>1212</c:v>
                </c:pt>
                <c:pt idx="4">
                  <c:v>1282</c:v>
                </c:pt>
                <c:pt idx="5">
                  <c:v>1252</c:v>
                </c:pt>
                <c:pt idx="6">
                  <c:v>1322</c:v>
                </c:pt>
                <c:pt idx="7">
                  <c:v>1392</c:v>
                </c:pt>
                <c:pt idx="8">
                  <c:v>1462</c:v>
                </c:pt>
                <c:pt idx="9">
                  <c:v>1532</c:v>
                </c:pt>
                <c:pt idx="10">
                  <c:v>1502</c:v>
                </c:pt>
                <c:pt idx="11">
                  <c:v>1572</c:v>
                </c:pt>
                <c:pt idx="12">
                  <c:v>1642</c:v>
                </c:pt>
                <c:pt idx="13">
                  <c:v>1712</c:v>
                </c:pt>
                <c:pt idx="14">
                  <c:v>1782</c:v>
                </c:pt>
              </c:numCache>
            </c:numRef>
          </c:val>
          <c:extLst>
            <c:ext xmlns:c16="http://schemas.microsoft.com/office/drawing/2014/chart" uri="{C3380CC4-5D6E-409C-BE32-E72D297353CC}">
              <c16:uniqueId val="{00000000-1C7F-4464-9AF4-B634C5A6DB00}"/>
            </c:ext>
          </c:extLst>
        </c:ser>
        <c:ser>
          <c:idx val="1"/>
          <c:order val="1"/>
          <c:tx>
            <c:strRef>
              <c:f>Summary!$C$33:$C$34</c:f>
              <c:strCache>
                <c:ptCount val="1"/>
                <c:pt idx="0">
                  <c:v>Europe</c:v>
                </c:pt>
              </c:strCache>
            </c:strRef>
          </c:tx>
          <c:spPr>
            <a:solidFill>
              <a:schemeClr val="accent2"/>
            </a:solidFill>
            <a:ln>
              <a:noFill/>
            </a:ln>
            <a:effectLst/>
          </c:spPr>
          <c:invertIfNegative val="0"/>
          <c:cat>
            <c:strRef>
              <c:f>Summary!$A$35:$A$49</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Summary!$C$35:$C$49</c:f>
              <c:numCache>
                <c:formatCode>General</c:formatCode>
                <c:ptCount val="15"/>
                <c:pt idx="0">
                  <c:v>1088</c:v>
                </c:pt>
                <c:pt idx="1">
                  <c:v>1158</c:v>
                </c:pt>
                <c:pt idx="2">
                  <c:v>1228</c:v>
                </c:pt>
                <c:pt idx="3">
                  <c:v>1298</c:v>
                </c:pt>
                <c:pt idx="4">
                  <c:v>1368</c:v>
                </c:pt>
                <c:pt idx="5">
                  <c:v>1338</c:v>
                </c:pt>
                <c:pt idx="6">
                  <c:v>1408</c:v>
                </c:pt>
                <c:pt idx="7">
                  <c:v>1478</c:v>
                </c:pt>
                <c:pt idx="8">
                  <c:v>1548</c:v>
                </c:pt>
                <c:pt idx="9">
                  <c:v>1618</c:v>
                </c:pt>
                <c:pt idx="10">
                  <c:v>1588</c:v>
                </c:pt>
                <c:pt idx="11">
                  <c:v>1658</c:v>
                </c:pt>
                <c:pt idx="12">
                  <c:v>1728</c:v>
                </c:pt>
                <c:pt idx="13">
                  <c:v>1798</c:v>
                </c:pt>
                <c:pt idx="14">
                  <c:v>1868</c:v>
                </c:pt>
              </c:numCache>
            </c:numRef>
          </c:val>
          <c:extLst>
            <c:ext xmlns:c16="http://schemas.microsoft.com/office/drawing/2014/chart" uri="{C3380CC4-5D6E-409C-BE32-E72D297353CC}">
              <c16:uniqueId val="{00000001-1C7F-4464-9AF4-B634C5A6DB00}"/>
            </c:ext>
          </c:extLst>
        </c:ser>
        <c:ser>
          <c:idx val="2"/>
          <c:order val="2"/>
          <c:tx>
            <c:strRef>
              <c:f>Summary!$D$33:$D$34</c:f>
              <c:strCache>
                <c:ptCount val="1"/>
                <c:pt idx="0">
                  <c:v>Latin America</c:v>
                </c:pt>
              </c:strCache>
            </c:strRef>
          </c:tx>
          <c:spPr>
            <a:solidFill>
              <a:schemeClr val="accent3"/>
            </a:solidFill>
            <a:ln>
              <a:noFill/>
            </a:ln>
            <a:effectLst/>
          </c:spPr>
          <c:invertIfNegative val="0"/>
          <c:cat>
            <c:strRef>
              <c:f>Summary!$A$35:$A$49</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Summary!$D$35:$D$49</c:f>
              <c:numCache>
                <c:formatCode>General</c:formatCode>
                <c:ptCount val="15"/>
                <c:pt idx="0">
                  <c:v>1142</c:v>
                </c:pt>
                <c:pt idx="1">
                  <c:v>1212</c:v>
                </c:pt>
                <c:pt idx="2">
                  <c:v>1282</c:v>
                </c:pt>
                <c:pt idx="3">
                  <c:v>1352</c:v>
                </c:pt>
                <c:pt idx="4">
                  <c:v>1422</c:v>
                </c:pt>
                <c:pt idx="5">
                  <c:v>1392</c:v>
                </c:pt>
                <c:pt idx="6">
                  <c:v>1462</c:v>
                </c:pt>
                <c:pt idx="7">
                  <c:v>1532</c:v>
                </c:pt>
                <c:pt idx="8">
                  <c:v>1602</c:v>
                </c:pt>
                <c:pt idx="9">
                  <c:v>1672</c:v>
                </c:pt>
                <c:pt idx="10">
                  <c:v>1642</c:v>
                </c:pt>
                <c:pt idx="11">
                  <c:v>1712</c:v>
                </c:pt>
                <c:pt idx="12">
                  <c:v>1782</c:v>
                </c:pt>
                <c:pt idx="13">
                  <c:v>1852</c:v>
                </c:pt>
                <c:pt idx="14">
                  <c:v>1922</c:v>
                </c:pt>
              </c:numCache>
            </c:numRef>
          </c:val>
          <c:extLst>
            <c:ext xmlns:c16="http://schemas.microsoft.com/office/drawing/2014/chart" uri="{C3380CC4-5D6E-409C-BE32-E72D297353CC}">
              <c16:uniqueId val="{00000002-1C7F-4464-9AF4-B634C5A6DB00}"/>
            </c:ext>
          </c:extLst>
        </c:ser>
        <c:ser>
          <c:idx val="3"/>
          <c:order val="3"/>
          <c:tx>
            <c:strRef>
              <c:f>Summary!$E$33:$E$34</c:f>
              <c:strCache>
                <c:ptCount val="1"/>
                <c:pt idx="0">
                  <c:v>Middle East &amp; Africa</c:v>
                </c:pt>
              </c:strCache>
            </c:strRef>
          </c:tx>
          <c:spPr>
            <a:solidFill>
              <a:schemeClr val="accent4"/>
            </a:solidFill>
            <a:ln>
              <a:noFill/>
            </a:ln>
            <a:effectLst/>
          </c:spPr>
          <c:invertIfNegative val="0"/>
          <c:cat>
            <c:strRef>
              <c:f>Summary!$A$35:$A$49</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Summary!$E$35:$E$49</c:f>
              <c:numCache>
                <c:formatCode>General</c:formatCode>
                <c:ptCount val="15"/>
                <c:pt idx="0">
                  <c:v>1189</c:v>
                </c:pt>
                <c:pt idx="1">
                  <c:v>1259</c:v>
                </c:pt>
                <c:pt idx="2">
                  <c:v>1329</c:v>
                </c:pt>
                <c:pt idx="3">
                  <c:v>1399</c:v>
                </c:pt>
                <c:pt idx="4">
                  <c:v>1469</c:v>
                </c:pt>
                <c:pt idx="5">
                  <c:v>1439</c:v>
                </c:pt>
                <c:pt idx="6">
                  <c:v>1509</c:v>
                </c:pt>
                <c:pt idx="7">
                  <c:v>1579</c:v>
                </c:pt>
                <c:pt idx="8">
                  <c:v>1649</c:v>
                </c:pt>
                <c:pt idx="9">
                  <c:v>1719</c:v>
                </c:pt>
                <c:pt idx="10">
                  <c:v>1689</c:v>
                </c:pt>
                <c:pt idx="11">
                  <c:v>1759</c:v>
                </c:pt>
                <c:pt idx="12">
                  <c:v>1829</c:v>
                </c:pt>
                <c:pt idx="13">
                  <c:v>1899</c:v>
                </c:pt>
                <c:pt idx="14">
                  <c:v>1969</c:v>
                </c:pt>
              </c:numCache>
            </c:numRef>
          </c:val>
          <c:extLst>
            <c:ext xmlns:c16="http://schemas.microsoft.com/office/drawing/2014/chart" uri="{C3380CC4-5D6E-409C-BE32-E72D297353CC}">
              <c16:uniqueId val="{00000003-1C7F-4464-9AF4-B634C5A6DB00}"/>
            </c:ext>
          </c:extLst>
        </c:ser>
        <c:ser>
          <c:idx val="4"/>
          <c:order val="4"/>
          <c:tx>
            <c:strRef>
              <c:f>Summary!$F$33:$F$34</c:f>
              <c:strCache>
                <c:ptCount val="1"/>
                <c:pt idx="0">
                  <c:v>North America</c:v>
                </c:pt>
              </c:strCache>
            </c:strRef>
          </c:tx>
          <c:spPr>
            <a:solidFill>
              <a:schemeClr val="accent5"/>
            </a:solidFill>
            <a:ln>
              <a:noFill/>
            </a:ln>
            <a:effectLst/>
          </c:spPr>
          <c:invertIfNegative val="0"/>
          <c:cat>
            <c:strRef>
              <c:f>Summary!$A$35:$A$49</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Summary!$F$35:$F$49</c:f>
              <c:numCache>
                <c:formatCode>General</c:formatCode>
                <c:ptCount val="15"/>
                <c:pt idx="0">
                  <c:v>1161</c:v>
                </c:pt>
                <c:pt idx="1">
                  <c:v>1231</c:v>
                </c:pt>
                <c:pt idx="2">
                  <c:v>1301</c:v>
                </c:pt>
                <c:pt idx="3">
                  <c:v>1371</c:v>
                </c:pt>
                <c:pt idx="4">
                  <c:v>1441</c:v>
                </c:pt>
                <c:pt idx="5">
                  <c:v>1411</c:v>
                </c:pt>
                <c:pt idx="6">
                  <c:v>1481</c:v>
                </c:pt>
                <c:pt idx="7">
                  <c:v>1551</c:v>
                </c:pt>
                <c:pt idx="8">
                  <c:v>1621</c:v>
                </c:pt>
                <c:pt idx="9">
                  <c:v>1691</c:v>
                </c:pt>
                <c:pt idx="10">
                  <c:v>1661</c:v>
                </c:pt>
                <c:pt idx="11">
                  <c:v>1731</c:v>
                </c:pt>
                <c:pt idx="12">
                  <c:v>1801</c:v>
                </c:pt>
                <c:pt idx="13">
                  <c:v>1871</c:v>
                </c:pt>
                <c:pt idx="14">
                  <c:v>1941</c:v>
                </c:pt>
              </c:numCache>
            </c:numRef>
          </c:val>
          <c:extLst>
            <c:ext xmlns:c16="http://schemas.microsoft.com/office/drawing/2014/chart" uri="{C3380CC4-5D6E-409C-BE32-E72D297353CC}">
              <c16:uniqueId val="{00000004-1C7F-4464-9AF4-B634C5A6DB00}"/>
            </c:ext>
          </c:extLst>
        </c:ser>
        <c:dLbls>
          <c:showLegendKey val="0"/>
          <c:showVal val="0"/>
          <c:showCatName val="0"/>
          <c:showSerName val="0"/>
          <c:showPercent val="0"/>
          <c:showBubbleSize val="0"/>
        </c:dLbls>
        <c:gapWidth val="150"/>
        <c:overlap val="100"/>
        <c:axId val="1767427647"/>
        <c:axId val="1767416127"/>
      </c:barChart>
      <c:catAx>
        <c:axId val="17674276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416127"/>
        <c:crosses val="autoZero"/>
        <c:auto val="1"/>
        <c:lblAlgn val="ctr"/>
        <c:lblOffset val="100"/>
        <c:noMultiLvlLbl val="0"/>
      </c:catAx>
      <c:valAx>
        <c:axId val="1767416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427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285750</xdr:colOff>
      <xdr:row>5</xdr:row>
      <xdr:rowOff>104775</xdr:rowOff>
    </xdr:from>
    <xdr:to>
      <xdr:col>13</xdr:col>
      <xdr:colOff>400050</xdr:colOff>
      <xdr:row>11</xdr:row>
      <xdr:rowOff>19050</xdr:rowOff>
    </xdr:to>
    <xdr:sp macro="" textlink="">
      <xdr:nvSpPr>
        <xdr:cNvPr id="2" name="Rectangle: Rounded Corners 1">
          <a:extLst>
            <a:ext uri="{FF2B5EF4-FFF2-40B4-BE49-F238E27FC236}">
              <a16:creationId xmlns:a16="http://schemas.microsoft.com/office/drawing/2014/main" id="{C69CD449-37E4-5B3E-7B1B-6B73A2FFE12B}"/>
            </a:ext>
          </a:extLst>
        </xdr:cNvPr>
        <xdr:cNvSpPr/>
      </xdr:nvSpPr>
      <xdr:spPr>
        <a:xfrm>
          <a:off x="8248650" y="1057275"/>
          <a:ext cx="3162300" cy="10572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600075</xdr:colOff>
      <xdr:row>3</xdr:row>
      <xdr:rowOff>123825</xdr:rowOff>
    </xdr:from>
    <xdr:to>
      <xdr:col>12</xdr:col>
      <xdr:colOff>314325</xdr:colOff>
      <xdr:row>10</xdr:row>
      <xdr:rowOff>9525</xdr:rowOff>
    </xdr:to>
    <xdr:grpSp>
      <xdr:nvGrpSpPr>
        <xdr:cNvPr id="10" name="Group 9">
          <a:extLst>
            <a:ext uri="{FF2B5EF4-FFF2-40B4-BE49-F238E27FC236}">
              <a16:creationId xmlns:a16="http://schemas.microsoft.com/office/drawing/2014/main" id="{E46CF668-F9C1-1909-1F48-4CE83F93DFA8}"/>
            </a:ext>
          </a:extLst>
        </xdr:cNvPr>
        <xdr:cNvGrpSpPr/>
      </xdr:nvGrpSpPr>
      <xdr:grpSpPr>
        <a:xfrm>
          <a:off x="7896225" y="695325"/>
          <a:ext cx="2762250" cy="1219200"/>
          <a:chOff x="9086850" y="2143125"/>
          <a:chExt cx="2762250" cy="1219200"/>
        </a:xfrm>
      </xdr:grpSpPr>
      <xdr:sp macro="" textlink="">
        <xdr:nvSpPr>
          <xdr:cNvPr id="6" name="Rectangle: Rounded Corners 5">
            <a:extLst>
              <a:ext uri="{FF2B5EF4-FFF2-40B4-BE49-F238E27FC236}">
                <a16:creationId xmlns:a16="http://schemas.microsoft.com/office/drawing/2014/main" id="{E1202EEB-1FBD-932E-49D5-EE6DEECB8ADA}"/>
              </a:ext>
            </a:extLst>
          </xdr:cNvPr>
          <xdr:cNvSpPr/>
        </xdr:nvSpPr>
        <xdr:spPr>
          <a:xfrm>
            <a:off x="9086850" y="2143125"/>
            <a:ext cx="2762250" cy="1219200"/>
          </a:xfrm>
          <a:prstGeom prst="roundRect">
            <a:avLst/>
          </a:prstGeom>
          <a:solidFill>
            <a:schemeClr val="bg2"/>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TextBox 6">
            <a:extLst>
              <a:ext uri="{FF2B5EF4-FFF2-40B4-BE49-F238E27FC236}">
                <a16:creationId xmlns:a16="http://schemas.microsoft.com/office/drawing/2014/main" id="{1F8DB20D-E979-F31B-6CAF-44B4033B541B}"/>
              </a:ext>
            </a:extLst>
          </xdr:cNvPr>
          <xdr:cNvSpPr txBox="1"/>
        </xdr:nvSpPr>
        <xdr:spPr>
          <a:xfrm>
            <a:off x="9563100" y="2295525"/>
            <a:ext cx="180975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YoY for a filtered Region</a:t>
            </a:r>
            <a:endParaRPr lang="en-US" sz="1100"/>
          </a:p>
        </xdr:txBody>
      </xdr:sp>
      <xdr:sp macro="" textlink="D8">
        <xdr:nvSpPr>
          <xdr:cNvPr id="8" name="TextBox 7">
            <a:extLst>
              <a:ext uri="{FF2B5EF4-FFF2-40B4-BE49-F238E27FC236}">
                <a16:creationId xmlns:a16="http://schemas.microsoft.com/office/drawing/2014/main" id="{BFE1369B-D216-B2AD-FB65-998C451E4F12}"/>
              </a:ext>
            </a:extLst>
          </xdr:cNvPr>
          <xdr:cNvSpPr txBox="1"/>
        </xdr:nvSpPr>
        <xdr:spPr>
          <a:xfrm>
            <a:off x="9344025" y="2762251"/>
            <a:ext cx="685800" cy="4857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cs typeface="Calibri"/>
              </a:rPr>
              <a:t>Europe:                </a:t>
            </a:r>
            <a:fld id="{F8B5A611-B4D9-410A-9042-9093D53055C8}" type="TxLink">
              <a:rPr lang="en-US" sz="1100" b="0" i="0" u="none" strike="noStrike">
                <a:solidFill>
                  <a:srgbClr val="000000"/>
                </a:solidFill>
                <a:latin typeface="Calibri"/>
                <a:cs typeface="Calibri"/>
              </a:rPr>
              <a:t>-0.26%</a:t>
            </a:fld>
            <a:endParaRPr lang="en-US" sz="1100"/>
          </a:p>
        </xdr:txBody>
      </xdr:sp>
      <xdr:sp macro="" textlink="F8">
        <xdr:nvSpPr>
          <xdr:cNvPr id="9" name="TextBox 8">
            <a:extLst>
              <a:ext uri="{FF2B5EF4-FFF2-40B4-BE49-F238E27FC236}">
                <a16:creationId xmlns:a16="http://schemas.microsoft.com/office/drawing/2014/main" id="{33B748DF-8D12-4654-8F36-0BE537C5A419}"/>
              </a:ext>
            </a:extLst>
          </xdr:cNvPr>
          <xdr:cNvSpPr txBox="1"/>
        </xdr:nvSpPr>
        <xdr:spPr>
          <a:xfrm>
            <a:off x="10829926" y="2752725"/>
            <a:ext cx="361949" cy="447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CD34C5-F170-479B-AF97-FD72F24189FE}" type="TxLink">
              <a:rPr lang="en-US" sz="1100" b="0" i="0" u="none" strike="noStrike">
                <a:solidFill>
                  <a:srgbClr val="000000"/>
                </a:solidFill>
                <a:latin typeface="Calibri"/>
                <a:cs typeface="Calibri"/>
              </a:rPr>
              <a:t>▼</a:t>
            </a:fld>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16</xdr:row>
      <xdr:rowOff>28574</xdr:rowOff>
    </xdr:from>
    <xdr:to>
      <xdr:col>4</xdr:col>
      <xdr:colOff>19050</xdr:colOff>
      <xdr:row>30</xdr:row>
      <xdr:rowOff>9525</xdr:rowOff>
    </xdr:to>
    <xdr:graphicFrame macro="">
      <xdr:nvGraphicFramePr>
        <xdr:cNvPr id="2" name="Chart 1">
          <a:extLst>
            <a:ext uri="{FF2B5EF4-FFF2-40B4-BE49-F238E27FC236}">
              <a16:creationId xmlns:a16="http://schemas.microsoft.com/office/drawing/2014/main" id="{50829239-2124-4FE2-8801-AAB934F80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33</xdr:row>
      <xdr:rowOff>0</xdr:rowOff>
    </xdr:from>
    <xdr:to>
      <xdr:col>3</xdr:col>
      <xdr:colOff>600075</xdr:colOff>
      <xdr:row>47</xdr:row>
      <xdr:rowOff>19050</xdr:rowOff>
    </xdr:to>
    <xdr:graphicFrame macro="">
      <xdr:nvGraphicFramePr>
        <xdr:cNvPr id="4" name="Chart 3">
          <a:extLst>
            <a:ext uri="{FF2B5EF4-FFF2-40B4-BE49-F238E27FC236}">
              <a16:creationId xmlns:a16="http://schemas.microsoft.com/office/drawing/2014/main" id="{9A7D62D1-969E-47A9-8133-3D4119A772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50</xdr:row>
      <xdr:rowOff>0</xdr:rowOff>
    </xdr:from>
    <xdr:to>
      <xdr:col>3</xdr:col>
      <xdr:colOff>590550</xdr:colOff>
      <xdr:row>64</xdr:row>
      <xdr:rowOff>57150</xdr:rowOff>
    </xdr:to>
    <xdr:graphicFrame macro="">
      <xdr:nvGraphicFramePr>
        <xdr:cNvPr id="5" name="Chart 4">
          <a:extLst>
            <a:ext uri="{FF2B5EF4-FFF2-40B4-BE49-F238E27FC236}">
              <a16:creationId xmlns:a16="http://schemas.microsoft.com/office/drawing/2014/main" id="{D2F3DF0E-6086-40C1-8524-56FFBFA49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0</xdr:colOff>
      <xdr:row>34</xdr:row>
      <xdr:rowOff>19050</xdr:rowOff>
    </xdr:from>
    <xdr:to>
      <xdr:col>8</xdr:col>
      <xdr:colOff>0</xdr:colOff>
      <xdr:row>47</xdr:row>
      <xdr:rowOff>66675</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F10B04DE-49AD-E3F7-35A0-95E6E5809E0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781550" y="6496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34</xdr:row>
      <xdr:rowOff>28575</xdr:rowOff>
    </xdr:from>
    <xdr:to>
      <xdr:col>11</xdr:col>
      <xdr:colOff>0</xdr:colOff>
      <xdr:row>47</xdr:row>
      <xdr:rowOff>76200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70D95323-37F1-560B-3CE6-D95C910B9CD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610350" y="6505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28575</xdr:colOff>
      <xdr:row>51</xdr:row>
      <xdr:rowOff>9525</xdr:rowOff>
    </xdr:from>
    <xdr:to>
      <xdr:col>8</xdr:col>
      <xdr:colOff>28575</xdr:colOff>
      <xdr:row>64</xdr:row>
      <xdr:rowOff>57150</xdr:rowOff>
    </xdr:to>
    <mc:AlternateContent xmlns:mc="http://schemas.openxmlformats.org/markup-compatibility/2006">
      <mc:Choice xmlns:a14="http://schemas.microsoft.com/office/drawing/2010/main" Requires="a14">
        <xdr:graphicFrame macro="">
          <xdr:nvGraphicFramePr>
            <xdr:cNvPr id="8" name="Year 1">
              <a:extLst>
                <a:ext uri="{FF2B5EF4-FFF2-40B4-BE49-F238E27FC236}">
                  <a16:creationId xmlns:a16="http://schemas.microsoft.com/office/drawing/2014/main" id="{8508BA93-5F92-A219-34D4-73C8521A8AC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4810125" y="9725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9525</xdr:colOff>
      <xdr:row>51</xdr:row>
      <xdr:rowOff>0</xdr:rowOff>
    </xdr:from>
    <xdr:to>
      <xdr:col>11</xdr:col>
      <xdr:colOff>9525</xdr:colOff>
      <xdr:row>64</xdr:row>
      <xdr:rowOff>47625</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568FFAB1-C057-0E4E-B8B2-911A23C64C6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619875" y="9715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19050</xdr:colOff>
      <xdr:row>16</xdr:row>
      <xdr:rowOff>171450</xdr:rowOff>
    </xdr:from>
    <xdr:to>
      <xdr:col>8</xdr:col>
      <xdr:colOff>19050</xdr:colOff>
      <xdr:row>30</xdr:row>
      <xdr:rowOff>28575</xdr:rowOff>
    </xdr:to>
    <mc:AlternateContent xmlns:mc="http://schemas.openxmlformats.org/markup-compatibility/2006">
      <mc:Choice xmlns:a14="http://schemas.microsoft.com/office/drawing/2010/main" Requires="a14">
        <xdr:graphicFrame macro="">
          <xdr:nvGraphicFramePr>
            <xdr:cNvPr id="10" name="Year 2">
              <a:extLst>
                <a:ext uri="{FF2B5EF4-FFF2-40B4-BE49-F238E27FC236}">
                  <a16:creationId xmlns:a16="http://schemas.microsoft.com/office/drawing/2014/main" id="{97023AE1-6400-BB72-916C-D0DE049CF75B}"/>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4800600" y="3219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19050</xdr:colOff>
      <xdr:row>16</xdr:row>
      <xdr:rowOff>161925</xdr:rowOff>
    </xdr:from>
    <xdr:to>
      <xdr:col>11</xdr:col>
      <xdr:colOff>19050</xdr:colOff>
      <xdr:row>30</xdr:row>
      <xdr:rowOff>19050</xdr:rowOff>
    </xdr:to>
    <mc:AlternateContent xmlns:mc="http://schemas.openxmlformats.org/markup-compatibility/2006">
      <mc:Choice xmlns:a14="http://schemas.microsoft.com/office/drawing/2010/main" Requires="a14">
        <xdr:graphicFrame macro="">
          <xdr:nvGraphicFramePr>
            <xdr:cNvPr id="11" name="Region 2">
              <a:extLst>
                <a:ext uri="{FF2B5EF4-FFF2-40B4-BE49-F238E27FC236}">
                  <a16:creationId xmlns:a16="http://schemas.microsoft.com/office/drawing/2014/main" id="{CAECADB7-A25E-9116-BAD6-80FC0D0CA40B}"/>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6629400" y="3209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381000</xdr:colOff>
      <xdr:row>4</xdr:row>
      <xdr:rowOff>57150</xdr:rowOff>
    </xdr:from>
    <xdr:to>
      <xdr:col>4</xdr:col>
      <xdr:colOff>390525</xdr:colOff>
      <xdr:row>7</xdr:row>
      <xdr:rowOff>76200</xdr:rowOff>
    </xdr:to>
    <xdr:sp macro="" textlink="C6">
      <xdr:nvSpPr>
        <xdr:cNvPr id="12" name="Rectangle: Rounded Corners 11">
          <a:extLst>
            <a:ext uri="{FF2B5EF4-FFF2-40B4-BE49-F238E27FC236}">
              <a16:creationId xmlns:a16="http://schemas.microsoft.com/office/drawing/2014/main" id="{90393DA9-C7C8-1B20-E4A1-076A3415DA90}"/>
            </a:ext>
          </a:extLst>
        </xdr:cNvPr>
        <xdr:cNvSpPr/>
      </xdr:nvSpPr>
      <xdr:spPr>
        <a:xfrm>
          <a:off x="2590800" y="819150"/>
          <a:ext cx="1971675" cy="590550"/>
        </a:xfrm>
        <a:prstGeom prst="roundRect">
          <a:avLst/>
        </a:prstGeom>
        <a:solidFill>
          <a:schemeClr val="tx2">
            <a:lumMod val="20000"/>
            <a:lumOff val="80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mn-lt"/>
              <a:cs typeface="Calibri"/>
            </a:rPr>
            <a:t>Consumers Spending</a:t>
          </a:r>
        </a:p>
        <a:p>
          <a:pPr algn="l"/>
          <a:fld id="{171DCA7D-DB3A-434D-BD3F-7DF445C77E24}" type="TxLink">
            <a:rPr lang="en-US" sz="1100" b="0" i="0" u="none" strike="noStrike">
              <a:solidFill>
                <a:srgbClr val="000000"/>
              </a:solidFill>
              <a:latin typeface="Calibri"/>
              <a:cs typeface="Calibri"/>
            </a:rPr>
            <a:t>112980</a:t>
          </a:fld>
          <a:endParaRPr lang="en-US" sz="1100"/>
        </a:p>
      </xdr:txBody>
    </xdr:sp>
    <xdr:clientData/>
  </xdr:twoCellAnchor>
  <xdr:twoCellAnchor>
    <xdr:from>
      <xdr:col>2</xdr:col>
      <xdr:colOff>314325</xdr:colOff>
      <xdr:row>8</xdr:row>
      <xdr:rowOff>76200</xdr:rowOff>
    </xdr:from>
    <xdr:to>
      <xdr:col>4</xdr:col>
      <xdr:colOff>323850</xdr:colOff>
      <xdr:row>11</xdr:row>
      <xdr:rowOff>57150</xdr:rowOff>
    </xdr:to>
    <xdr:sp macro="" textlink="C10">
      <xdr:nvSpPr>
        <xdr:cNvPr id="16" name="Rectangle: Rounded Corners 15">
          <a:extLst>
            <a:ext uri="{FF2B5EF4-FFF2-40B4-BE49-F238E27FC236}">
              <a16:creationId xmlns:a16="http://schemas.microsoft.com/office/drawing/2014/main" id="{ECAAC077-4954-467B-B90E-D28A30CFCC9D}"/>
            </a:ext>
          </a:extLst>
        </xdr:cNvPr>
        <xdr:cNvSpPr/>
      </xdr:nvSpPr>
      <xdr:spPr>
        <a:xfrm>
          <a:off x="2524125" y="1600200"/>
          <a:ext cx="1971675" cy="552450"/>
        </a:xfrm>
        <a:prstGeom prst="roundRect">
          <a:avLst/>
        </a:prstGeom>
        <a:solidFill>
          <a:schemeClr val="tx2">
            <a:lumMod val="20000"/>
            <a:lumOff val="80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Calibri"/>
              <a:cs typeface="Calibri"/>
            </a:rPr>
            <a:t>Top Region Spenders </a:t>
          </a:r>
        </a:p>
        <a:p>
          <a:pPr algn="l"/>
          <a:fld id="{AC21F4DB-3F1B-448A-ADBC-069F329DD2F2}" type="TxLink">
            <a:rPr lang="en-US" sz="1100" b="0" i="0" u="none" strike="noStrike">
              <a:solidFill>
                <a:srgbClr val="000000"/>
              </a:solidFill>
              <a:latin typeface="Calibri"/>
              <a:cs typeface="Calibri"/>
            </a:rPr>
            <a:t>23685</a:t>
          </a:fld>
          <a:endParaRPr lang="en-US" sz="1100"/>
        </a:p>
      </xdr:txBody>
    </xdr:sp>
    <xdr:clientData/>
  </xdr:twoCellAnchor>
  <xdr:twoCellAnchor>
    <xdr:from>
      <xdr:col>6</xdr:col>
      <xdr:colOff>47625</xdr:colOff>
      <xdr:row>5</xdr:row>
      <xdr:rowOff>123825</xdr:rowOff>
    </xdr:from>
    <xdr:to>
      <xdr:col>10</xdr:col>
      <xdr:colOff>371475</xdr:colOff>
      <xdr:row>12</xdr:row>
      <xdr:rowOff>9525</xdr:rowOff>
    </xdr:to>
    <xdr:grpSp>
      <xdr:nvGrpSpPr>
        <xdr:cNvPr id="24" name="Group 23">
          <a:extLst>
            <a:ext uri="{FF2B5EF4-FFF2-40B4-BE49-F238E27FC236}">
              <a16:creationId xmlns:a16="http://schemas.microsoft.com/office/drawing/2014/main" id="{B8FBB672-AC8C-4341-95DB-EC9B28922817}"/>
            </a:ext>
          </a:extLst>
        </xdr:cNvPr>
        <xdr:cNvGrpSpPr/>
      </xdr:nvGrpSpPr>
      <xdr:grpSpPr>
        <a:xfrm>
          <a:off x="5438775" y="1076325"/>
          <a:ext cx="2762250" cy="1219200"/>
          <a:chOff x="9086850" y="2143125"/>
          <a:chExt cx="2762250" cy="1219200"/>
        </a:xfrm>
      </xdr:grpSpPr>
      <xdr:sp macro="" textlink="">
        <xdr:nvSpPr>
          <xdr:cNvPr id="25" name="Rectangle: Rounded Corners 24">
            <a:extLst>
              <a:ext uri="{FF2B5EF4-FFF2-40B4-BE49-F238E27FC236}">
                <a16:creationId xmlns:a16="http://schemas.microsoft.com/office/drawing/2014/main" id="{1562C9D2-C39C-31F9-671F-D00B6F999117}"/>
              </a:ext>
            </a:extLst>
          </xdr:cNvPr>
          <xdr:cNvSpPr/>
        </xdr:nvSpPr>
        <xdr:spPr>
          <a:xfrm>
            <a:off x="9086850" y="2143125"/>
            <a:ext cx="2762250" cy="1219200"/>
          </a:xfrm>
          <a:prstGeom prst="roundRect">
            <a:avLst/>
          </a:prstGeom>
          <a:solidFill>
            <a:schemeClr val="bg2"/>
          </a:solidFill>
          <a:ln>
            <a:no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TextBox 25">
            <a:extLst>
              <a:ext uri="{FF2B5EF4-FFF2-40B4-BE49-F238E27FC236}">
                <a16:creationId xmlns:a16="http://schemas.microsoft.com/office/drawing/2014/main" id="{572998E5-44BF-D1A4-F35D-EE4E3C30A274}"/>
              </a:ext>
            </a:extLst>
          </xdr:cNvPr>
          <xdr:cNvSpPr txBox="1"/>
        </xdr:nvSpPr>
        <xdr:spPr>
          <a:xfrm>
            <a:off x="9563100" y="2295525"/>
            <a:ext cx="180975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YoY for a filtered Region</a:t>
            </a:r>
            <a:endParaRPr lang="en-US" sz="1100"/>
          </a:p>
        </xdr:txBody>
      </xdr:sp>
      <xdr:sp macro="" textlink="D8">
        <xdr:nvSpPr>
          <xdr:cNvPr id="27" name="TextBox 26">
            <a:extLst>
              <a:ext uri="{FF2B5EF4-FFF2-40B4-BE49-F238E27FC236}">
                <a16:creationId xmlns:a16="http://schemas.microsoft.com/office/drawing/2014/main" id="{28831579-E98C-F35A-F647-D239405F1EA2}"/>
              </a:ext>
            </a:extLst>
          </xdr:cNvPr>
          <xdr:cNvSpPr txBox="1"/>
        </xdr:nvSpPr>
        <xdr:spPr>
          <a:xfrm>
            <a:off x="9344025" y="2762251"/>
            <a:ext cx="685800" cy="4857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cs typeface="Calibri"/>
              </a:rPr>
              <a:t>Europe:                </a:t>
            </a:r>
            <a:fld id="{F8B5A611-B4D9-410A-9042-9093D53055C8}" type="TxLink">
              <a:rPr lang="en-US" sz="1100" b="0" i="0" u="none" strike="noStrike">
                <a:solidFill>
                  <a:srgbClr val="000000"/>
                </a:solidFill>
                <a:latin typeface="Calibri"/>
                <a:cs typeface="Calibri"/>
              </a:rPr>
              <a:t>-0.26%</a:t>
            </a:fld>
            <a:endParaRPr lang="en-US" sz="1100"/>
          </a:p>
        </xdr:txBody>
      </xdr:sp>
      <xdr:sp macro="" textlink="F8">
        <xdr:nvSpPr>
          <xdr:cNvPr id="28" name="TextBox 27">
            <a:extLst>
              <a:ext uri="{FF2B5EF4-FFF2-40B4-BE49-F238E27FC236}">
                <a16:creationId xmlns:a16="http://schemas.microsoft.com/office/drawing/2014/main" id="{AF8DC9E1-902B-5E89-00A7-BF4DB980AE32}"/>
              </a:ext>
            </a:extLst>
          </xdr:cNvPr>
          <xdr:cNvSpPr txBox="1"/>
        </xdr:nvSpPr>
        <xdr:spPr>
          <a:xfrm>
            <a:off x="10829926" y="2752725"/>
            <a:ext cx="361949" cy="4476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CD34C5-F170-479B-AF97-FD72F24189FE}" type="TxLink">
              <a:rPr lang="en-US" sz="1100" b="0" i="0" u="none" strike="noStrike">
                <a:solidFill>
                  <a:srgbClr val="000000"/>
                </a:solidFill>
                <a:latin typeface="Calibri"/>
                <a:cs typeface="Calibri"/>
              </a:rPr>
              <a:t>▼</a:t>
            </a:fld>
            <a:endParaRPr lang="en-US"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76.925645254632" createdVersion="8" refreshedVersion="8" minRefreshableVersion="3" recordCount="75" xr:uid="{71011A8B-3D60-4D3B-AA96-B636EFCF33D5}">
  <cacheSource type="worksheet">
    <worksheetSource name="Table1"/>
  </cacheSource>
  <cacheFields count="3">
    <cacheField name="Year" numFmtId="0">
      <sharedItems containsSemiMixedTypes="0" containsString="0" containsNumber="1" containsInteger="1" minValue="2010" maxValue="2024" count="15">
        <n v="2010"/>
        <n v="2011"/>
        <n v="2012"/>
        <n v="2013"/>
        <n v="2014"/>
        <n v="2015"/>
        <n v="2016"/>
        <n v="2017"/>
        <n v="2018"/>
        <n v="2019"/>
        <n v="2020"/>
        <n v="2021"/>
        <n v="2022"/>
        <n v="2023"/>
        <n v="2024"/>
      </sharedItems>
    </cacheField>
    <cacheField name="Region" numFmtId="0">
      <sharedItems count="5">
        <s v="North America"/>
        <s v="Europe"/>
        <s v="Asia-Pacific"/>
        <s v="Latin America"/>
        <s v="Middle East &amp; Africa"/>
      </sharedItems>
    </cacheField>
    <cacheField name="Consumer_Spending_Billion_USD" numFmtId="0">
      <sharedItems containsSemiMixedTypes="0" containsString="0" containsNumber="1" containsInteger="1" minValue="1002" maxValue="1969"/>
    </cacheField>
  </cacheFields>
  <extLst>
    <ext xmlns:x14="http://schemas.microsoft.com/office/spreadsheetml/2009/9/main" uri="{725AE2AE-9491-48be-B2B4-4EB974FC3084}">
      <x14:pivotCacheDefinition pivotCacheId="21024116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x v="0"/>
    <x v="0"/>
    <n v="1161"/>
  </r>
  <r>
    <x v="0"/>
    <x v="1"/>
    <n v="1088"/>
  </r>
  <r>
    <x v="0"/>
    <x v="2"/>
    <n v="1002"/>
  </r>
  <r>
    <x v="0"/>
    <x v="3"/>
    <n v="1142"/>
  </r>
  <r>
    <x v="0"/>
    <x v="4"/>
    <n v="1189"/>
  </r>
  <r>
    <x v="1"/>
    <x v="0"/>
    <n v="1231"/>
  </r>
  <r>
    <x v="1"/>
    <x v="1"/>
    <n v="1158"/>
  </r>
  <r>
    <x v="1"/>
    <x v="2"/>
    <n v="1072"/>
  </r>
  <r>
    <x v="1"/>
    <x v="3"/>
    <n v="1212"/>
  </r>
  <r>
    <x v="1"/>
    <x v="4"/>
    <n v="1259"/>
  </r>
  <r>
    <x v="2"/>
    <x v="0"/>
    <n v="1301"/>
  </r>
  <r>
    <x v="2"/>
    <x v="1"/>
    <n v="1228"/>
  </r>
  <r>
    <x v="2"/>
    <x v="2"/>
    <n v="1142"/>
  </r>
  <r>
    <x v="2"/>
    <x v="3"/>
    <n v="1282"/>
  </r>
  <r>
    <x v="2"/>
    <x v="4"/>
    <n v="1329"/>
  </r>
  <r>
    <x v="3"/>
    <x v="0"/>
    <n v="1371"/>
  </r>
  <r>
    <x v="3"/>
    <x v="1"/>
    <n v="1298"/>
  </r>
  <r>
    <x v="3"/>
    <x v="2"/>
    <n v="1212"/>
  </r>
  <r>
    <x v="3"/>
    <x v="3"/>
    <n v="1352"/>
  </r>
  <r>
    <x v="3"/>
    <x v="4"/>
    <n v="1399"/>
  </r>
  <r>
    <x v="4"/>
    <x v="0"/>
    <n v="1441"/>
  </r>
  <r>
    <x v="4"/>
    <x v="1"/>
    <n v="1368"/>
  </r>
  <r>
    <x v="4"/>
    <x v="2"/>
    <n v="1282"/>
  </r>
  <r>
    <x v="4"/>
    <x v="3"/>
    <n v="1422"/>
  </r>
  <r>
    <x v="4"/>
    <x v="4"/>
    <n v="1469"/>
  </r>
  <r>
    <x v="5"/>
    <x v="0"/>
    <n v="1411"/>
  </r>
  <r>
    <x v="5"/>
    <x v="1"/>
    <n v="1338"/>
  </r>
  <r>
    <x v="5"/>
    <x v="2"/>
    <n v="1252"/>
  </r>
  <r>
    <x v="5"/>
    <x v="3"/>
    <n v="1392"/>
  </r>
  <r>
    <x v="5"/>
    <x v="4"/>
    <n v="1439"/>
  </r>
  <r>
    <x v="6"/>
    <x v="0"/>
    <n v="1481"/>
  </r>
  <r>
    <x v="6"/>
    <x v="1"/>
    <n v="1408"/>
  </r>
  <r>
    <x v="6"/>
    <x v="2"/>
    <n v="1322"/>
  </r>
  <r>
    <x v="6"/>
    <x v="3"/>
    <n v="1462"/>
  </r>
  <r>
    <x v="6"/>
    <x v="4"/>
    <n v="1509"/>
  </r>
  <r>
    <x v="7"/>
    <x v="0"/>
    <n v="1551"/>
  </r>
  <r>
    <x v="7"/>
    <x v="1"/>
    <n v="1478"/>
  </r>
  <r>
    <x v="7"/>
    <x v="2"/>
    <n v="1392"/>
  </r>
  <r>
    <x v="7"/>
    <x v="3"/>
    <n v="1532"/>
  </r>
  <r>
    <x v="7"/>
    <x v="4"/>
    <n v="1579"/>
  </r>
  <r>
    <x v="8"/>
    <x v="0"/>
    <n v="1621"/>
  </r>
  <r>
    <x v="8"/>
    <x v="1"/>
    <n v="1548"/>
  </r>
  <r>
    <x v="8"/>
    <x v="2"/>
    <n v="1462"/>
  </r>
  <r>
    <x v="8"/>
    <x v="3"/>
    <n v="1602"/>
  </r>
  <r>
    <x v="8"/>
    <x v="4"/>
    <n v="1649"/>
  </r>
  <r>
    <x v="9"/>
    <x v="0"/>
    <n v="1691"/>
  </r>
  <r>
    <x v="9"/>
    <x v="1"/>
    <n v="1618"/>
  </r>
  <r>
    <x v="9"/>
    <x v="2"/>
    <n v="1532"/>
  </r>
  <r>
    <x v="9"/>
    <x v="3"/>
    <n v="1672"/>
  </r>
  <r>
    <x v="9"/>
    <x v="4"/>
    <n v="1719"/>
  </r>
  <r>
    <x v="10"/>
    <x v="0"/>
    <n v="1661"/>
  </r>
  <r>
    <x v="10"/>
    <x v="1"/>
    <n v="1588"/>
  </r>
  <r>
    <x v="10"/>
    <x v="2"/>
    <n v="1502"/>
  </r>
  <r>
    <x v="10"/>
    <x v="3"/>
    <n v="1642"/>
  </r>
  <r>
    <x v="10"/>
    <x v="4"/>
    <n v="1689"/>
  </r>
  <r>
    <x v="11"/>
    <x v="0"/>
    <n v="1731"/>
  </r>
  <r>
    <x v="11"/>
    <x v="1"/>
    <n v="1658"/>
  </r>
  <r>
    <x v="11"/>
    <x v="2"/>
    <n v="1572"/>
  </r>
  <r>
    <x v="11"/>
    <x v="3"/>
    <n v="1712"/>
  </r>
  <r>
    <x v="11"/>
    <x v="4"/>
    <n v="1759"/>
  </r>
  <r>
    <x v="12"/>
    <x v="0"/>
    <n v="1801"/>
  </r>
  <r>
    <x v="12"/>
    <x v="1"/>
    <n v="1728"/>
  </r>
  <r>
    <x v="12"/>
    <x v="2"/>
    <n v="1642"/>
  </r>
  <r>
    <x v="12"/>
    <x v="3"/>
    <n v="1782"/>
  </r>
  <r>
    <x v="12"/>
    <x v="4"/>
    <n v="1829"/>
  </r>
  <r>
    <x v="13"/>
    <x v="0"/>
    <n v="1871"/>
  </r>
  <r>
    <x v="13"/>
    <x v="1"/>
    <n v="1798"/>
  </r>
  <r>
    <x v="13"/>
    <x v="2"/>
    <n v="1712"/>
  </r>
  <r>
    <x v="13"/>
    <x v="3"/>
    <n v="1852"/>
  </r>
  <r>
    <x v="13"/>
    <x v="4"/>
    <n v="1899"/>
  </r>
  <r>
    <x v="14"/>
    <x v="0"/>
    <n v="1941"/>
  </r>
  <r>
    <x v="14"/>
    <x v="1"/>
    <n v="1868"/>
  </r>
  <r>
    <x v="14"/>
    <x v="2"/>
    <n v="1782"/>
  </r>
  <r>
    <x v="14"/>
    <x v="3"/>
    <n v="1922"/>
  </r>
  <r>
    <x v="14"/>
    <x v="4"/>
    <n v="196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A8EC0C-0B5D-44DF-8A88-0B48A063A57D}" name="PivotTable4" cacheId="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3:G49" firstHeaderRow="1" firstDataRow="2" firstDataCol="1"/>
  <pivotFields count="3">
    <pivotField axis="axisRow" showAll="0">
      <items count="16">
        <item x="0"/>
        <item x="1"/>
        <item x="2"/>
        <item x="3"/>
        <item x="4"/>
        <item x="5"/>
        <item x="6"/>
        <item x="7"/>
        <item x="8"/>
        <item x="9"/>
        <item x="10"/>
        <item x="11"/>
        <item x="12"/>
        <item x="13"/>
        <item x="14"/>
        <item t="default"/>
      </items>
    </pivotField>
    <pivotField axis="axisCol" showAll="0">
      <items count="6">
        <item x="2"/>
        <item x="1"/>
        <item x="3"/>
        <item x="4"/>
        <item x="0"/>
        <item t="default"/>
      </items>
    </pivotField>
    <pivotField dataField="1" showAll="0"/>
  </pivotFields>
  <rowFields count="1">
    <field x="0"/>
  </rowFields>
  <rowItems count="15">
    <i>
      <x/>
    </i>
    <i>
      <x v="1"/>
    </i>
    <i>
      <x v="2"/>
    </i>
    <i>
      <x v="3"/>
    </i>
    <i>
      <x v="4"/>
    </i>
    <i>
      <x v="5"/>
    </i>
    <i>
      <x v="6"/>
    </i>
    <i>
      <x v="7"/>
    </i>
    <i>
      <x v="8"/>
    </i>
    <i>
      <x v="9"/>
    </i>
    <i>
      <x v="10"/>
    </i>
    <i>
      <x v="11"/>
    </i>
    <i>
      <x v="12"/>
    </i>
    <i>
      <x v="13"/>
    </i>
    <i>
      <x v="14"/>
    </i>
  </rowItems>
  <colFields count="1">
    <field x="1"/>
  </colFields>
  <colItems count="6">
    <i>
      <x/>
    </i>
    <i>
      <x v="1"/>
    </i>
    <i>
      <x v="2"/>
    </i>
    <i>
      <x v="3"/>
    </i>
    <i>
      <x v="4"/>
    </i>
    <i t="grand">
      <x/>
    </i>
  </colItems>
  <dataFields count="1">
    <dataField name="Sum of Consumer_Spending_Billion_USD" fld="2" baseField="0" baseItem="0"/>
  </dataFields>
  <chartFormats count="5">
    <chartFormat chart="2" format="10" series="1">
      <pivotArea type="data" outline="0" fieldPosition="0">
        <references count="2">
          <reference field="4294967294" count="1" selected="0">
            <x v="0"/>
          </reference>
          <reference field="1" count="1" selected="0">
            <x v="0"/>
          </reference>
        </references>
      </pivotArea>
    </chartFormat>
    <chartFormat chart="2" format="11" series="1">
      <pivotArea type="data" outline="0" fieldPosition="0">
        <references count="2">
          <reference field="4294967294" count="1" selected="0">
            <x v="0"/>
          </reference>
          <reference field="1" count="1" selected="0">
            <x v="1"/>
          </reference>
        </references>
      </pivotArea>
    </chartFormat>
    <chartFormat chart="2" format="12" series="1">
      <pivotArea type="data" outline="0" fieldPosition="0">
        <references count="2">
          <reference field="4294967294" count="1" selected="0">
            <x v="0"/>
          </reference>
          <reference field="1" count="1" selected="0">
            <x v="2"/>
          </reference>
        </references>
      </pivotArea>
    </chartFormat>
    <chartFormat chart="2" format="13" series="1">
      <pivotArea type="data" outline="0" fieldPosition="0">
        <references count="2">
          <reference field="4294967294" count="1" selected="0">
            <x v="0"/>
          </reference>
          <reference field="1" count="1" selected="0">
            <x v="3"/>
          </reference>
        </references>
      </pivotArea>
    </chartFormat>
    <chartFormat chart="2" format="1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CC5C92-5AD1-4B0A-8403-33D4DE942366}" name="PivotTable3" cacheId="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23:B28" firstHeaderRow="1" firstDataRow="1" firstDataCol="1"/>
  <pivotFields count="3">
    <pivotField showAll="0">
      <items count="16">
        <item x="0"/>
        <item x="1"/>
        <item x="2"/>
        <item x="3"/>
        <item x="4"/>
        <item x="5"/>
        <item x="6"/>
        <item x="7"/>
        <item x="8"/>
        <item x="9"/>
        <item x="10"/>
        <item x="11"/>
        <item x="12"/>
        <item x="13"/>
        <item x="14"/>
        <item t="default"/>
      </items>
    </pivotField>
    <pivotField axis="axisRow" showAll="0">
      <items count="6">
        <item x="2"/>
        <item x="1"/>
        <item x="3"/>
        <item x="4"/>
        <item x="0"/>
        <item t="default"/>
      </items>
    </pivotField>
    <pivotField dataField="1" showAll="0"/>
  </pivotFields>
  <rowFields count="1">
    <field x="1"/>
  </rowFields>
  <rowItems count="5">
    <i>
      <x/>
    </i>
    <i>
      <x v="1"/>
    </i>
    <i>
      <x v="2"/>
    </i>
    <i>
      <x v="3"/>
    </i>
    <i>
      <x v="4"/>
    </i>
  </rowItems>
  <colItems count="1">
    <i/>
  </colItems>
  <dataFields count="1">
    <dataField name="Sum of Consumer_Spending_Billion_USD" fld="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A0AC6C-14AE-43E1-B1AC-99D4FDFA1607}" name="PivotTable1" cacheId="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B18" firstHeaderRow="1" firstDataRow="1" firstDataCol="1"/>
  <pivotFields count="3">
    <pivotField axis="axisRow" showAll="0">
      <items count="16">
        <item x="0"/>
        <item x="1"/>
        <item x="2"/>
        <item x="3"/>
        <item x="4"/>
        <item x="5"/>
        <item x="6"/>
        <item x="7"/>
        <item x="8"/>
        <item x="9"/>
        <item x="10"/>
        <item x="11"/>
        <item x="12"/>
        <item x="13"/>
        <item x="14"/>
        <item t="default"/>
      </items>
    </pivotField>
    <pivotField showAll="0">
      <items count="6">
        <item x="2"/>
        <item x="1"/>
        <item x="3"/>
        <item x="4"/>
        <item x="0"/>
        <item t="default"/>
      </items>
    </pivotField>
    <pivotField dataField="1" showAll="0"/>
  </pivotFields>
  <rowFields count="1">
    <field x="0"/>
  </rowFields>
  <rowItems count="15">
    <i>
      <x/>
    </i>
    <i>
      <x v="1"/>
    </i>
    <i>
      <x v="2"/>
    </i>
    <i>
      <x v="3"/>
    </i>
    <i>
      <x v="4"/>
    </i>
    <i>
      <x v="5"/>
    </i>
    <i>
      <x v="6"/>
    </i>
    <i>
      <x v="7"/>
    </i>
    <i>
      <x v="8"/>
    </i>
    <i>
      <x v="9"/>
    </i>
    <i>
      <x v="10"/>
    </i>
    <i>
      <x v="11"/>
    </i>
    <i>
      <x v="12"/>
    </i>
    <i>
      <x v="13"/>
    </i>
    <i>
      <x v="14"/>
    </i>
  </rowItems>
  <colItems count="1">
    <i/>
  </colItems>
  <dataFields count="1">
    <dataField name="Sum of Consumer_Spending_Billion_USD" fld="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B03BF0-DD5B-41C5-AF44-F1A75370ECCA}" name="PivotTable7" cacheId="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3:B18" firstHeaderRow="1" firstDataRow="1" firstDataCol="1"/>
  <pivotFields count="3">
    <pivotField axis="axisRow" showAll="0">
      <items count="16">
        <item x="0"/>
        <item x="1"/>
        <item x="2"/>
        <item x="3"/>
        <item x="4"/>
        <item x="5"/>
        <item x="6"/>
        <item x="7"/>
        <item x="8"/>
        <item x="9"/>
        <item x="10"/>
        <item x="11"/>
        <item x="12"/>
        <item x="13"/>
        <item x="14"/>
        <item t="default"/>
      </items>
    </pivotField>
    <pivotField showAll="0">
      <items count="6">
        <item x="2"/>
        <item x="1"/>
        <item x="3"/>
        <item x="4"/>
        <item x="0"/>
        <item t="default"/>
      </items>
    </pivotField>
    <pivotField dataField="1" showAll="0"/>
  </pivotFields>
  <rowFields count="1">
    <field x="0"/>
  </rowFields>
  <rowItems count="15">
    <i>
      <x/>
    </i>
    <i>
      <x v="1"/>
    </i>
    <i>
      <x v="2"/>
    </i>
    <i>
      <x v="3"/>
    </i>
    <i>
      <x v="4"/>
    </i>
    <i>
      <x v="5"/>
    </i>
    <i>
      <x v="6"/>
    </i>
    <i>
      <x v="7"/>
    </i>
    <i>
      <x v="8"/>
    </i>
    <i>
      <x v="9"/>
    </i>
    <i>
      <x v="10"/>
    </i>
    <i>
      <x v="11"/>
    </i>
    <i>
      <x v="12"/>
    </i>
    <i>
      <x v="13"/>
    </i>
    <i>
      <x v="14"/>
    </i>
  </rowItems>
  <colItems count="1">
    <i/>
  </colItems>
  <dataFields count="1">
    <dataField name="Sum of Consumer_Spending_Billion_USD" fld="2" showDataAs="percentDiff" baseField="0" baseItem="1048828" numFmtId="1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1929FE-3347-4F71-A48B-F39AB9257C44}" name="PivotTable6" cacheId="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23:B28" firstHeaderRow="1" firstDataRow="1" firstDataCol="1"/>
  <pivotFields count="3">
    <pivotField showAll="0">
      <items count="16">
        <item x="0"/>
        <item x="1"/>
        <item x="2"/>
        <item x="3"/>
        <item x="4"/>
        <item x="5"/>
        <item x="6"/>
        <item x="7"/>
        <item x="8"/>
        <item x="9"/>
        <item x="10"/>
        <item x="11"/>
        <item x="12"/>
        <item x="13"/>
        <item x="14"/>
        <item t="default"/>
      </items>
    </pivotField>
    <pivotField axis="axisRow" showAll="0">
      <items count="6">
        <item x="2"/>
        <item x="1"/>
        <item x="3"/>
        <item x="4"/>
        <item x="0"/>
        <item t="default"/>
      </items>
    </pivotField>
    <pivotField dataField="1" showAll="0"/>
  </pivotFields>
  <rowFields count="1">
    <field x="1"/>
  </rowFields>
  <rowItems count="5">
    <i>
      <x/>
    </i>
    <i>
      <x v="1"/>
    </i>
    <i>
      <x v="2"/>
    </i>
    <i>
      <x v="3"/>
    </i>
    <i>
      <x v="4"/>
    </i>
  </rowItems>
  <colItems count="1">
    <i/>
  </colItems>
  <dataFields count="1">
    <dataField name="Sum of Consumer_Spending_Billion_USD" fld="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480F1C-CCB0-4F45-85E3-5D3FC205B8AD}" name="PivotTable5" cacheId="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33:G49" firstHeaderRow="1" firstDataRow="2" firstDataCol="1"/>
  <pivotFields count="3">
    <pivotField axis="axisRow" showAll="0">
      <items count="16">
        <item x="0"/>
        <item x="1"/>
        <item x="2"/>
        <item x="3"/>
        <item x="4"/>
        <item x="5"/>
        <item x="6"/>
        <item x="7"/>
        <item x="8"/>
        <item x="9"/>
        <item x="10"/>
        <item x="11"/>
        <item x="12"/>
        <item x="13"/>
        <item x="14"/>
        <item t="default"/>
      </items>
    </pivotField>
    <pivotField axis="axisCol" showAll="0">
      <items count="6">
        <item x="2"/>
        <item x="1"/>
        <item x="3"/>
        <item x="4"/>
        <item x="0"/>
        <item t="default"/>
      </items>
    </pivotField>
    <pivotField dataField="1" showAll="0"/>
  </pivotFields>
  <rowFields count="1">
    <field x="0"/>
  </rowFields>
  <rowItems count="15">
    <i>
      <x/>
    </i>
    <i>
      <x v="1"/>
    </i>
    <i>
      <x v="2"/>
    </i>
    <i>
      <x v="3"/>
    </i>
    <i>
      <x v="4"/>
    </i>
    <i>
      <x v="5"/>
    </i>
    <i>
      <x v="6"/>
    </i>
    <i>
      <x v="7"/>
    </i>
    <i>
      <x v="8"/>
    </i>
    <i>
      <x v="9"/>
    </i>
    <i>
      <x v="10"/>
    </i>
    <i>
      <x v="11"/>
    </i>
    <i>
      <x v="12"/>
    </i>
    <i>
      <x v="13"/>
    </i>
    <i>
      <x v="14"/>
    </i>
  </rowItems>
  <colFields count="1">
    <field x="1"/>
  </colFields>
  <colItems count="6">
    <i>
      <x/>
    </i>
    <i>
      <x v="1"/>
    </i>
    <i>
      <x v="2"/>
    </i>
    <i>
      <x v="3"/>
    </i>
    <i>
      <x v="4"/>
    </i>
    <i t="grand">
      <x/>
    </i>
  </colItems>
  <dataFields count="1">
    <dataField name="Sum of Consumer_Spending_Billion_USD" fld="2" baseField="0" baseItem="0"/>
  </dataFields>
  <chartFormats count="5">
    <chartFormat chart="2" format="10" series="1">
      <pivotArea type="data" outline="0" fieldPosition="0">
        <references count="2">
          <reference field="4294967294" count="1" selected="0">
            <x v="0"/>
          </reference>
          <reference field="1" count="1" selected="0">
            <x v="0"/>
          </reference>
        </references>
      </pivotArea>
    </chartFormat>
    <chartFormat chart="2" format="11" series="1">
      <pivotArea type="data" outline="0" fieldPosition="0">
        <references count="2">
          <reference field="4294967294" count="1" selected="0">
            <x v="0"/>
          </reference>
          <reference field="1" count="1" selected="0">
            <x v="1"/>
          </reference>
        </references>
      </pivotArea>
    </chartFormat>
    <chartFormat chart="2" format="12" series="1">
      <pivotArea type="data" outline="0" fieldPosition="0">
        <references count="2">
          <reference field="4294967294" count="1" selected="0">
            <x v="0"/>
          </reference>
          <reference field="1" count="1" selected="0">
            <x v="2"/>
          </reference>
        </references>
      </pivotArea>
    </chartFormat>
    <chartFormat chart="2" format="13" series="1">
      <pivotArea type="data" outline="0" fieldPosition="0">
        <references count="2">
          <reference field="4294967294" count="1" selected="0">
            <x v="0"/>
          </reference>
          <reference field="1" count="1" selected="0">
            <x v="3"/>
          </reference>
        </references>
      </pivotArea>
    </chartFormat>
    <chartFormat chart="2" format="1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9697033-05AF-4A0F-B363-3547DC800F95}" sourceName="Year">
  <pivotTables>
    <pivotTable tabId="2" name="PivotTable3"/>
    <pivotTable tabId="5" name="PivotTable6"/>
  </pivotTables>
  <data>
    <tabular pivotCacheId="2102411605">
      <items count="15">
        <i x="0" s="1"/>
        <i x="1" s="1"/>
        <i x="2" s="1"/>
        <i x="3" s="1"/>
        <i x="4" s="1"/>
        <i x="5" s="1"/>
        <i x="6" s="1"/>
        <i x="7" s="1"/>
        <i x="8" s="1"/>
        <i x="9" s="1"/>
        <i x="10" s="1"/>
        <i x="11" s="1"/>
        <i x="12" s="1"/>
        <i x="13" s="1"/>
        <i x="1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3FE9F2-575D-468A-9BF6-68B551AA51DE}" sourceName="Region">
  <pivotTables>
    <pivotTable tabId="2" name="PivotTable3"/>
    <pivotTable tabId="5" name="PivotTable6"/>
  </pivotTables>
  <data>
    <tabular pivotCacheId="2102411605">
      <items count="5">
        <i x="2" s="1"/>
        <i x="1" s="1"/>
        <i x="3"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41FCD892-2024-4B21-92B0-685CA63B601F}" sourceName="Year">
  <pivotTables>
    <pivotTable tabId="2" name="PivotTable4"/>
    <pivotTable tabId="5" name="PivotTable5"/>
  </pivotTables>
  <data>
    <tabular pivotCacheId="2102411605">
      <items count="15">
        <i x="0" s="1"/>
        <i x="1" s="1"/>
        <i x="2" s="1"/>
        <i x="3" s="1"/>
        <i x="4" s="1"/>
        <i x="5" s="1"/>
        <i x="6" s="1"/>
        <i x="7" s="1"/>
        <i x="8" s="1"/>
        <i x="9" s="1"/>
        <i x="10" s="1"/>
        <i x="11" s="1"/>
        <i x="12" s="1"/>
        <i x="13" s="1"/>
        <i x="1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6CD9AB6-1CD1-4B47-9D69-A7FC38EE0284}" sourceName="Region">
  <pivotTables>
    <pivotTable tabId="2" name="PivotTable4"/>
    <pivotTable tabId="5" name="PivotTable5"/>
  </pivotTables>
  <data>
    <tabular pivotCacheId="2102411605">
      <items count="5">
        <i x="2" s="1"/>
        <i x="1" s="1"/>
        <i x="3" s="1"/>
        <i x="4"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284C9056-9586-4D46-BAC2-F6C05DF09D88}" sourceName="Year">
  <pivotTables>
    <pivotTable tabId="2" name="PivotTable1"/>
    <pivotTable tabId="5" name="PivotTable7"/>
  </pivotTables>
  <data>
    <tabular pivotCacheId="2102411605">
      <items count="15">
        <i x="0" s="1"/>
        <i x="1" s="1"/>
        <i x="2" s="1"/>
        <i x="3" s="1"/>
        <i x="4" s="1"/>
        <i x="5" s="1"/>
        <i x="6" s="1"/>
        <i x="7" s="1"/>
        <i x="8" s="1"/>
        <i x="9" s="1"/>
        <i x="10" s="1"/>
        <i x="11" s="1"/>
        <i x="12" s="1"/>
        <i x="13" s="1"/>
        <i x="1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D33C5339-9EE1-4848-A619-D93FA0844F5A}" sourceName="Region">
  <pivotTables>
    <pivotTable tabId="2" name="PivotTable1"/>
    <pivotTable tabId="5" name="PivotTable7"/>
  </pivotTables>
  <data>
    <tabular pivotCacheId="2102411605">
      <items count="5">
        <i x="2" s="1"/>
        <i x="1" s="1"/>
        <i x="3"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0A6C5C3-5EB8-40F8-957A-17D6A1777641}" cache="Slicer_Year" caption="Year" rowHeight="241300"/>
  <slicer name="Region" xr10:uid="{5148CDA9-E421-4FAC-A59A-96B963C579AC}" cache="Slicer_Region" caption="Region" rowHeight="241300"/>
  <slicer name="Year 1" xr10:uid="{08044F63-E0C8-4CAB-A993-B0D45975C552}" cache="Slicer_Year1" caption="Year" rowHeight="241300"/>
  <slicer name="Region 1" xr10:uid="{4B625DCD-8B13-4625-875B-16CB8548580E}" cache="Slicer_Region1" caption="Region" rowHeight="241300"/>
  <slicer name="Year 2" xr10:uid="{574D9C73-7773-45FC-BBFD-62B194C26987}" cache="Slicer_Year2" caption="Year" rowHeight="241300"/>
  <slicer name="Region 2" xr10:uid="{32F75DC7-44DA-44D4-932F-4DC936EF291C}" cache="Slicer_Region2"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F82925-4AB5-4C68-A914-489BA55B8262}" name="Table1" displayName="Table1" ref="A1:D76" totalsRowShown="0">
  <autoFilter ref="A1:D76" xr:uid="{7FF82925-4AB5-4C68-A914-489BA55B8262}"/>
  <tableColumns count="4">
    <tableColumn id="1" xr3:uid="{C126639B-BF04-42B5-BBDB-A9924C030734}" name="Year"/>
    <tableColumn id="2" xr3:uid="{193B251B-4AE7-448F-B281-E31282A39AF5}" name="Region"/>
    <tableColumn id="3" xr3:uid="{92188D8C-32F1-48D5-AEBA-EDC5091C31FE}" name="Consumer_Spending_Billion_USD"/>
    <tableColumn id="4" xr3:uid="{D4DDA0CF-D46A-4976-84D2-517A7D4EBDE4}" name="Year over Year Growth" dataDxfId="3">
      <calculatedColumnFormula>IFERROR( (C2 - INDEX($C:$C, MATCH(A2-1, $A:$A, 0))) / INDEX($C:$C, MATCH(A2-1, $A:$A, 0)), "" )</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9F5DB1-F0D4-44E3-9282-62788DBEAE49}" name="Table13" displayName="Table13" ref="A1:F76" totalsRowShown="0">
  <autoFilter ref="A1:F76" xr:uid="{E99F5DB1-F0D4-44E3-9282-62788DBEAE49}"/>
  <tableColumns count="6">
    <tableColumn id="1" xr3:uid="{4677B45E-283D-41AB-89BB-73E7ABCA9463}" name="Year"/>
    <tableColumn id="2" xr3:uid="{869074FE-4F7B-4C4A-87F6-D86F94B48F4C}" name="Region"/>
    <tableColumn id="3" xr3:uid="{72B54A32-8E2B-4E44-89E1-EE7F8A0ACADD}" name="Consumer_Spending_Billion_USD"/>
    <tableColumn id="4" xr3:uid="{F0294F95-6BC8-4482-9B0A-EFB32D8CD3A3}" name="Year over Year Growth" dataDxfId="2">
      <calculatedColumnFormula>IFERROR( (C2 - INDEX($C:$C, MATCH(A2-1, $A:$A, 0))) / INDEX($C:$C, MATCH(A2-1, $A:$A, 0)), "" )</calculatedColumnFormula>
    </tableColumn>
    <tableColumn id="6" xr3:uid="{C6D3F7F6-567B-4778-B2ED-29563FD1F46A}" name="Column1" dataDxfId="1">
      <calculatedColumnFormula>IF(D2&gt;0,"Up", IF(D2&lt;0,"Down","Neutral"))</calculatedColumnFormula>
    </tableColumn>
    <tableColumn id="7" xr3:uid="{211AB37A-DEC4-46FF-A77B-038A0C483E92}" name="Column2" dataDxfId="0">
      <calculatedColumnFormula>IF(E2="Up","▲", IF(E2="Down","▼","●"))</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0C35B-2AD5-4E83-A906-785F34467225}">
  <dimension ref="A1:D76"/>
  <sheetViews>
    <sheetView workbookViewId="0">
      <selection sqref="A1:XFD1048576"/>
    </sheetView>
  </sheetViews>
  <sheetFormatPr defaultRowHeight="15" x14ac:dyDescent="0.25"/>
  <cols>
    <col min="1" max="1" width="7.28515625" bestFit="1" customWidth="1"/>
    <col min="2" max="2" width="19" bestFit="1" customWidth="1"/>
    <col min="3" max="3" width="32.85546875" customWidth="1"/>
    <col min="4" max="4" width="23.7109375" bestFit="1" customWidth="1"/>
  </cols>
  <sheetData>
    <row r="1" spans="1:4" x14ac:dyDescent="0.25">
      <c r="A1" t="s">
        <v>0</v>
      </c>
      <c r="B1" t="s">
        <v>1</v>
      </c>
      <c r="C1" t="s">
        <v>2</v>
      </c>
      <c r="D1" t="s">
        <v>21</v>
      </c>
    </row>
    <row r="2" spans="1:4" x14ac:dyDescent="0.25">
      <c r="A2">
        <v>2010</v>
      </c>
      <c r="B2" t="s">
        <v>3</v>
      </c>
      <c r="C2">
        <v>1161</v>
      </c>
      <c r="D2" s="5" t="str">
        <f t="shared" ref="D2:D33" si="0">IFERROR( (C2 - INDEX($C:$C, MATCH(A2-1, $A:$A, 0))) / INDEX($C:$C, MATCH(A2-1, $A:$A, 0)), "" )</f>
        <v/>
      </c>
    </row>
    <row r="3" spans="1:4" x14ac:dyDescent="0.25">
      <c r="A3">
        <v>2010</v>
      </c>
      <c r="B3" t="s">
        <v>4</v>
      </c>
      <c r="C3">
        <v>1088</v>
      </c>
      <c r="D3" s="5" t="str">
        <f t="shared" si="0"/>
        <v/>
      </c>
    </row>
    <row r="4" spans="1:4" x14ac:dyDescent="0.25">
      <c r="A4">
        <v>2010</v>
      </c>
      <c r="B4" t="s">
        <v>5</v>
      </c>
      <c r="C4">
        <v>1002</v>
      </c>
      <c r="D4" s="5" t="str">
        <f t="shared" si="0"/>
        <v/>
      </c>
    </row>
    <row r="5" spans="1:4" x14ac:dyDescent="0.25">
      <c r="A5">
        <v>2010</v>
      </c>
      <c r="B5" t="s">
        <v>6</v>
      </c>
      <c r="C5">
        <v>1142</v>
      </c>
      <c r="D5" s="5" t="str">
        <f t="shared" si="0"/>
        <v/>
      </c>
    </row>
    <row r="6" spans="1:4" x14ac:dyDescent="0.25">
      <c r="A6">
        <v>2010</v>
      </c>
      <c r="B6" t="s">
        <v>7</v>
      </c>
      <c r="C6">
        <v>1189</v>
      </c>
      <c r="D6" s="5" t="str">
        <f t="shared" si="0"/>
        <v/>
      </c>
    </row>
    <row r="7" spans="1:4" x14ac:dyDescent="0.25">
      <c r="A7">
        <v>2011</v>
      </c>
      <c r="B7" t="s">
        <v>3</v>
      </c>
      <c r="C7">
        <v>1231</v>
      </c>
      <c r="D7" s="5">
        <f t="shared" si="0"/>
        <v>6.0292850990525407E-2</v>
      </c>
    </row>
    <row r="8" spans="1:4" x14ac:dyDescent="0.25">
      <c r="A8">
        <v>2011</v>
      </c>
      <c r="B8" t="s">
        <v>4</v>
      </c>
      <c r="C8">
        <v>1158</v>
      </c>
      <c r="D8" s="5">
        <f t="shared" si="0"/>
        <v>-2.5839793281653748E-3</v>
      </c>
    </row>
    <row r="9" spans="1:4" x14ac:dyDescent="0.25">
      <c r="A9">
        <v>2011</v>
      </c>
      <c r="B9" t="s">
        <v>5</v>
      </c>
      <c r="C9">
        <v>1072</v>
      </c>
      <c r="D9" s="5">
        <f t="shared" si="0"/>
        <v>-7.6658053402239454E-2</v>
      </c>
    </row>
    <row r="10" spans="1:4" x14ac:dyDescent="0.25">
      <c r="A10">
        <v>2011</v>
      </c>
      <c r="B10" t="s">
        <v>6</v>
      </c>
      <c r="C10">
        <v>1212</v>
      </c>
      <c r="D10" s="5">
        <f t="shared" si="0"/>
        <v>4.3927648578811367E-2</v>
      </c>
    </row>
    <row r="11" spans="1:4" x14ac:dyDescent="0.25">
      <c r="A11">
        <v>2011</v>
      </c>
      <c r="B11" t="s">
        <v>7</v>
      </c>
      <c r="C11">
        <v>1259</v>
      </c>
      <c r="D11" s="5">
        <f t="shared" si="0"/>
        <v>8.4409991386735578E-2</v>
      </c>
    </row>
    <row r="12" spans="1:4" x14ac:dyDescent="0.25">
      <c r="A12">
        <v>2012</v>
      </c>
      <c r="B12" t="s">
        <v>3</v>
      </c>
      <c r="C12">
        <v>1301</v>
      </c>
      <c r="D12" s="5">
        <f t="shared" si="0"/>
        <v>5.686433793663688E-2</v>
      </c>
    </row>
    <row r="13" spans="1:4" x14ac:dyDescent="0.25">
      <c r="A13">
        <v>2012</v>
      </c>
      <c r="B13" t="s">
        <v>4</v>
      </c>
      <c r="C13">
        <v>1228</v>
      </c>
      <c r="D13" s="5">
        <f t="shared" si="0"/>
        <v>-2.437043054427295E-3</v>
      </c>
    </row>
    <row r="14" spans="1:4" x14ac:dyDescent="0.25">
      <c r="A14">
        <v>2012</v>
      </c>
      <c r="B14" t="s">
        <v>5</v>
      </c>
      <c r="C14">
        <v>1142</v>
      </c>
      <c r="D14" s="5">
        <f t="shared" si="0"/>
        <v>-7.2298943948009745E-2</v>
      </c>
    </row>
    <row r="15" spans="1:4" x14ac:dyDescent="0.25">
      <c r="A15">
        <v>2012</v>
      </c>
      <c r="B15" t="s">
        <v>6</v>
      </c>
      <c r="C15">
        <v>1282</v>
      </c>
      <c r="D15" s="5">
        <f t="shared" si="0"/>
        <v>4.1429731925264016E-2</v>
      </c>
    </row>
    <row r="16" spans="1:4" x14ac:dyDescent="0.25">
      <c r="A16">
        <v>2012</v>
      </c>
      <c r="B16" t="s">
        <v>7</v>
      </c>
      <c r="C16">
        <v>1329</v>
      </c>
      <c r="D16" s="5">
        <f t="shared" si="0"/>
        <v>7.9610073111291632E-2</v>
      </c>
    </row>
    <row r="17" spans="1:4" x14ac:dyDescent="0.25">
      <c r="A17">
        <v>2013</v>
      </c>
      <c r="B17" t="s">
        <v>3</v>
      </c>
      <c r="C17">
        <v>1371</v>
      </c>
      <c r="D17" s="5">
        <f t="shared" si="0"/>
        <v>5.3804765564950036E-2</v>
      </c>
    </row>
    <row r="18" spans="1:4" x14ac:dyDescent="0.25">
      <c r="A18">
        <v>2013</v>
      </c>
      <c r="B18" t="s">
        <v>4</v>
      </c>
      <c r="C18">
        <v>1298</v>
      </c>
      <c r="D18" s="5">
        <f t="shared" si="0"/>
        <v>-2.3059185242121443E-3</v>
      </c>
    </row>
    <row r="19" spans="1:4" x14ac:dyDescent="0.25">
      <c r="A19">
        <v>2013</v>
      </c>
      <c r="B19" t="s">
        <v>5</v>
      </c>
      <c r="C19">
        <v>1212</v>
      </c>
      <c r="D19" s="5">
        <f t="shared" si="0"/>
        <v>-6.8408916218293619E-2</v>
      </c>
    </row>
    <row r="20" spans="1:4" x14ac:dyDescent="0.25">
      <c r="A20">
        <v>2013</v>
      </c>
      <c r="B20" t="s">
        <v>6</v>
      </c>
      <c r="C20">
        <v>1352</v>
      </c>
      <c r="D20" s="5">
        <f t="shared" si="0"/>
        <v>3.9200614911606459E-2</v>
      </c>
    </row>
    <row r="21" spans="1:4" x14ac:dyDescent="0.25">
      <c r="A21">
        <v>2013</v>
      </c>
      <c r="B21" t="s">
        <v>7</v>
      </c>
      <c r="C21">
        <v>1399</v>
      </c>
      <c r="D21" s="5">
        <f t="shared" si="0"/>
        <v>7.5326671790930055E-2</v>
      </c>
    </row>
    <row r="22" spans="1:4" x14ac:dyDescent="0.25">
      <c r="A22">
        <v>2014</v>
      </c>
      <c r="B22" t="s">
        <v>3</v>
      </c>
      <c r="C22">
        <v>1441</v>
      </c>
      <c r="D22" s="5">
        <f t="shared" si="0"/>
        <v>5.1057622173595912E-2</v>
      </c>
    </row>
    <row r="23" spans="1:4" x14ac:dyDescent="0.25">
      <c r="A23">
        <v>2014</v>
      </c>
      <c r="B23" t="s">
        <v>4</v>
      </c>
      <c r="C23">
        <v>1368</v>
      </c>
      <c r="D23" s="5">
        <f t="shared" si="0"/>
        <v>-2.1881838074398249E-3</v>
      </c>
    </row>
    <row r="24" spans="1:4" x14ac:dyDescent="0.25">
      <c r="A24">
        <v>2014</v>
      </c>
      <c r="B24" t="s">
        <v>5</v>
      </c>
      <c r="C24">
        <v>1282</v>
      </c>
      <c r="D24" s="5">
        <f t="shared" si="0"/>
        <v>-6.4916119620714807E-2</v>
      </c>
    </row>
    <row r="25" spans="1:4" x14ac:dyDescent="0.25">
      <c r="A25">
        <v>2014</v>
      </c>
      <c r="B25" t="s">
        <v>6</v>
      </c>
      <c r="C25">
        <v>1422</v>
      </c>
      <c r="D25" s="5">
        <f t="shared" si="0"/>
        <v>3.7199124726477024E-2</v>
      </c>
    </row>
    <row r="26" spans="1:4" x14ac:dyDescent="0.25">
      <c r="A26">
        <v>2014</v>
      </c>
      <c r="B26" t="s">
        <v>7</v>
      </c>
      <c r="C26">
        <v>1469</v>
      </c>
      <c r="D26" s="5">
        <f t="shared" si="0"/>
        <v>7.148067104303428E-2</v>
      </c>
    </row>
    <row r="27" spans="1:4" x14ac:dyDescent="0.25">
      <c r="A27">
        <v>2015</v>
      </c>
      <c r="B27" t="s">
        <v>3</v>
      </c>
      <c r="C27">
        <v>1411</v>
      </c>
      <c r="D27" s="5">
        <f t="shared" si="0"/>
        <v>-2.0818875780707843E-2</v>
      </c>
    </row>
    <row r="28" spans="1:4" x14ac:dyDescent="0.25">
      <c r="A28">
        <v>2015</v>
      </c>
      <c r="B28" t="s">
        <v>4</v>
      </c>
      <c r="C28">
        <v>1338</v>
      </c>
      <c r="D28" s="5">
        <f t="shared" si="0"/>
        <v>-7.1478140180430264E-2</v>
      </c>
    </row>
    <row r="29" spans="1:4" x14ac:dyDescent="0.25">
      <c r="A29">
        <v>2015</v>
      </c>
      <c r="B29" t="s">
        <v>5</v>
      </c>
      <c r="C29">
        <v>1252</v>
      </c>
      <c r="D29" s="5">
        <f t="shared" si="0"/>
        <v>-0.13115891741845939</v>
      </c>
    </row>
    <row r="30" spans="1:4" x14ac:dyDescent="0.25">
      <c r="A30">
        <v>2015</v>
      </c>
      <c r="B30" t="s">
        <v>6</v>
      </c>
      <c r="C30">
        <v>1392</v>
      </c>
      <c r="D30" s="5">
        <f t="shared" si="0"/>
        <v>-3.4004163775156145E-2</v>
      </c>
    </row>
    <row r="31" spans="1:4" x14ac:dyDescent="0.25">
      <c r="A31">
        <v>2015</v>
      </c>
      <c r="B31" t="s">
        <v>7</v>
      </c>
      <c r="C31">
        <v>1439</v>
      </c>
      <c r="D31" s="5">
        <f t="shared" si="0"/>
        <v>-1.3879250520471894E-3</v>
      </c>
    </row>
    <row r="32" spans="1:4" x14ac:dyDescent="0.25">
      <c r="A32">
        <v>2016</v>
      </c>
      <c r="B32" t="s">
        <v>3</v>
      </c>
      <c r="C32">
        <v>1481</v>
      </c>
      <c r="D32" s="5">
        <f t="shared" si="0"/>
        <v>4.9610205527994333E-2</v>
      </c>
    </row>
    <row r="33" spans="1:4" x14ac:dyDescent="0.25">
      <c r="A33">
        <v>2016</v>
      </c>
      <c r="B33" t="s">
        <v>4</v>
      </c>
      <c r="C33">
        <v>1408</v>
      </c>
      <c r="D33" s="5">
        <f t="shared" si="0"/>
        <v>-2.1261516654854712E-3</v>
      </c>
    </row>
    <row r="34" spans="1:4" x14ac:dyDescent="0.25">
      <c r="A34">
        <v>2016</v>
      </c>
      <c r="B34" t="s">
        <v>5</v>
      </c>
      <c r="C34">
        <v>1322</v>
      </c>
      <c r="D34" s="5">
        <f t="shared" ref="D34:D65" si="1">IFERROR( (C34 - INDEX($C:$C, MATCH(A34-1, $A:$A, 0))) / INDEX($C:$C, MATCH(A34-1, $A:$A, 0)), "" )</f>
        <v>-6.3075832742735649E-2</v>
      </c>
    </row>
    <row r="35" spans="1:4" x14ac:dyDescent="0.25">
      <c r="A35">
        <v>2016</v>
      </c>
      <c r="B35" t="s">
        <v>6</v>
      </c>
      <c r="C35">
        <v>1462</v>
      </c>
      <c r="D35" s="5">
        <f t="shared" si="1"/>
        <v>3.614457831325301E-2</v>
      </c>
    </row>
    <row r="36" spans="1:4" x14ac:dyDescent="0.25">
      <c r="A36">
        <v>2016</v>
      </c>
      <c r="B36" t="s">
        <v>7</v>
      </c>
      <c r="C36">
        <v>1509</v>
      </c>
      <c r="D36" s="5">
        <f t="shared" si="1"/>
        <v>6.9454287739192058E-2</v>
      </c>
    </row>
    <row r="37" spans="1:4" x14ac:dyDescent="0.25">
      <c r="A37">
        <v>2017</v>
      </c>
      <c r="B37" t="s">
        <v>3</v>
      </c>
      <c r="C37">
        <v>1551</v>
      </c>
      <c r="D37" s="5">
        <f t="shared" si="1"/>
        <v>4.7265361242403783E-2</v>
      </c>
    </row>
    <row r="38" spans="1:4" x14ac:dyDescent="0.25">
      <c r="A38">
        <v>2017</v>
      </c>
      <c r="B38" t="s">
        <v>4</v>
      </c>
      <c r="C38">
        <v>1478</v>
      </c>
      <c r="D38" s="5">
        <f t="shared" si="1"/>
        <v>-2.0256583389601621E-3</v>
      </c>
    </row>
    <row r="39" spans="1:4" x14ac:dyDescent="0.25">
      <c r="A39">
        <v>2017</v>
      </c>
      <c r="B39" t="s">
        <v>5</v>
      </c>
      <c r="C39">
        <v>1392</v>
      </c>
      <c r="D39" s="5">
        <f t="shared" si="1"/>
        <v>-6.0094530722484808E-2</v>
      </c>
    </row>
    <row r="40" spans="1:4" x14ac:dyDescent="0.25">
      <c r="A40">
        <v>2017</v>
      </c>
      <c r="B40" t="s">
        <v>6</v>
      </c>
      <c r="C40">
        <v>1532</v>
      </c>
      <c r="D40" s="5">
        <f t="shared" si="1"/>
        <v>3.4436191762322751E-2</v>
      </c>
    </row>
    <row r="41" spans="1:4" x14ac:dyDescent="0.25">
      <c r="A41">
        <v>2017</v>
      </c>
      <c r="B41" t="s">
        <v>7</v>
      </c>
      <c r="C41">
        <v>1579</v>
      </c>
      <c r="D41" s="5">
        <f t="shared" si="1"/>
        <v>6.6171505739365297E-2</v>
      </c>
    </row>
    <row r="42" spans="1:4" x14ac:dyDescent="0.25">
      <c r="A42">
        <v>2018</v>
      </c>
      <c r="B42" t="s">
        <v>3</v>
      </c>
      <c r="C42">
        <v>1621</v>
      </c>
      <c r="D42" s="5">
        <f t="shared" si="1"/>
        <v>4.5132172791747263E-2</v>
      </c>
    </row>
    <row r="43" spans="1:4" x14ac:dyDescent="0.25">
      <c r="A43">
        <v>2018</v>
      </c>
      <c r="B43" t="s">
        <v>4</v>
      </c>
      <c r="C43">
        <v>1548</v>
      </c>
      <c r="D43" s="5">
        <f t="shared" si="1"/>
        <v>-1.9342359767891683E-3</v>
      </c>
    </row>
    <row r="44" spans="1:4" x14ac:dyDescent="0.25">
      <c r="A44">
        <v>2018</v>
      </c>
      <c r="B44" t="s">
        <v>5</v>
      </c>
      <c r="C44">
        <v>1462</v>
      </c>
      <c r="D44" s="5">
        <f t="shared" si="1"/>
        <v>-5.738233397807866E-2</v>
      </c>
    </row>
    <row r="45" spans="1:4" x14ac:dyDescent="0.25">
      <c r="A45">
        <v>2018</v>
      </c>
      <c r="B45" t="s">
        <v>6</v>
      </c>
      <c r="C45">
        <v>1602</v>
      </c>
      <c r="D45" s="5">
        <f t="shared" si="1"/>
        <v>3.2882011605415859E-2</v>
      </c>
    </row>
    <row r="46" spans="1:4" x14ac:dyDescent="0.25">
      <c r="A46">
        <v>2018</v>
      </c>
      <c r="B46" t="s">
        <v>7</v>
      </c>
      <c r="C46">
        <v>1649</v>
      </c>
      <c r="D46" s="5">
        <f t="shared" si="1"/>
        <v>6.3185041908446163E-2</v>
      </c>
    </row>
    <row r="47" spans="1:4" x14ac:dyDescent="0.25">
      <c r="A47">
        <v>2019</v>
      </c>
      <c r="B47" t="s">
        <v>3</v>
      </c>
      <c r="C47">
        <v>1691</v>
      </c>
      <c r="D47" s="5">
        <f t="shared" si="1"/>
        <v>4.3183220234423197E-2</v>
      </c>
    </row>
    <row r="48" spans="1:4" x14ac:dyDescent="0.25">
      <c r="A48">
        <v>2019</v>
      </c>
      <c r="B48" t="s">
        <v>4</v>
      </c>
      <c r="C48">
        <v>1618</v>
      </c>
      <c r="D48" s="5">
        <f t="shared" si="1"/>
        <v>-1.8507094386181369E-3</v>
      </c>
    </row>
    <row r="49" spans="1:4" x14ac:dyDescent="0.25">
      <c r="A49">
        <v>2019</v>
      </c>
      <c r="B49" t="s">
        <v>5</v>
      </c>
      <c r="C49">
        <v>1532</v>
      </c>
      <c r="D49" s="5">
        <f t="shared" si="1"/>
        <v>-5.4904380012338064E-2</v>
      </c>
    </row>
    <row r="50" spans="1:4" x14ac:dyDescent="0.25">
      <c r="A50">
        <v>2019</v>
      </c>
      <c r="B50" t="s">
        <v>6</v>
      </c>
      <c r="C50">
        <v>1672</v>
      </c>
      <c r="D50" s="5">
        <f t="shared" si="1"/>
        <v>3.1462060456508331E-2</v>
      </c>
    </row>
    <row r="51" spans="1:4" x14ac:dyDescent="0.25">
      <c r="A51">
        <v>2019</v>
      </c>
      <c r="B51" t="s">
        <v>7</v>
      </c>
      <c r="C51">
        <v>1719</v>
      </c>
      <c r="D51" s="5">
        <f t="shared" si="1"/>
        <v>6.0456508328192472E-2</v>
      </c>
    </row>
    <row r="52" spans="1:4" x14ac:dyDescent="0.25">
      <c r="A52">
        <v>2020</v>
      </c>
      <c r="B52" t="s">
        <v>3</v>
      </c>
      <c r="C52">
        <v>1661</v>
      </c>
      <c r="D52" s="5">
        <f t="shared" si="1"/>
        <v>-1.7740981667652277E-2</v>
      </c>
    </row>
    <row r="53" spans="1:4" x14ac:dyDescent="0.25">
      <c r="A53">
        <v>2020</v>
      </c>
      <c r="B53" t="s">
        <v>4</v>
      </c>
      <c r="C53">
        <v>1588</v>
      </c>
      <c r="D53" s="5">
        <f t="shared" si="1"/>
        <v>-6.0910703725606148E-2</v>
      </c>
    </row>
    <row r="54" spans="1:4" x14ac:dyDescent="0.25">
      <c r="A54">
        <v>2020</v>
      </c>
      <c r="B54" t="s">
        <v>5</v>
      </c>
      <c r="C54">
        <v>1502</v>
      </c>
      <c r="D54" s="5">
        <f t="shared" si="1"/>
        <v>-0.11176818450620934</v>
      </c>
    </row>
    <row r="55" spans="1:4" x14ac:dyDescent="0.25">
      <c r="A55">
        <v>2020</v>
      </c>
      <c r="B55" t="s">
        <v>6</v>
      </c>
      <c r="C55">
        <v>1642</v>
      </c>
      <c r="D55" s="5">
        <f t="shared" si="1"/>
        <v>-2.8976936723832052E-2</v>
      </c>
    </row>
    <row r="56" spans="1:4" x14ac:dyDescent="0.25">
      <c r="A56">
        <v>2020</v>
      </c>
      <c r="B56" t="s">
        <v>7</v>
      </c>
      <c r="C56">
        <v>1689</v>
      </c>
      <c r="D56" s="5">
        <f t="shared" si="1"/>
        <v>-1.1827321111768185E-3</v>
      </c>
    </row>
    <row r="57" spans="1:4" x14ac:dyDescent="0.25">
      <c r="A57">
        <v>2021</v>
      </c>
      <c r="B57" t="s">
        <v>3</v>
      </c>
      <c r="C57">
        <v>1731</v>
      </c>
      <c r="D57" s="5">
        <f t="shared" si="1"/>
        <v>4.2143287176399757E-2</v>
      </c>
    </row>
    <row r="58" spans="1:4" x14ac:dyDescent="0.25">
      <c r="A58">
        <v>2021</v>
      </c>
      <c r="B58" t="s">
        <v>4</v>
      </c>
      <c r="C58">
        <v>1658</v>
      </c>
      <c r="D58" s="5">
        <f t="shared" si="1"/>
        <v>-1.8061408789885611E-3</v>
      </c>
    </row>
    <row r="59" spans="1:4" x14ac:dyDescent="0.25">
      <c r="A59">
        <v>2021</v>
      </c>
      <c r="B59" t="s">
        <v>5</v>
      </c>
      <c r="C59">
        <v>1572</v>
      </c>
      <c r="D59" s="5">
        <f t="shared" si="1"/>
        <v>-5.3582179409993977E-2</v>
      </c>
    </row>
    <row r="60" spans="1:4" x14ac:dyDescent="0.25">
      <c r="A60">
        <v>2021</v>
      </c>
      <c r="B60" t="s">
        <v>6</v>
      </c>
      <c r="C60">
        <v>1712</v>
      </c>
      <c r="D60" s="5">
        <f t="shared" si="1"/>
        <v>3.0704394942805538E-2</v>
      </c>
    </row>
    <row r="61" spans="1:4" x14ac:dyDescent="0.25">
      <c r="A61">
        <v>2021</v>
      </c>
      <c r="B61" t="s">
        <v>7</v>
      </c>
      <c r="C61">
        <v>1759</v>
      </c>
      <c r="D61" s="5">
        <f t="shared" si="1"/>
        <v>5.9000602046959665E-2</v>
      </c>
    </row>
    <row r="62" spans="1:4" x14ac:dyDescent="0.25">
      <c r="A62">
        <v>2022</v>
      </c>
      <c r="B62" t="s">
        <v>3</v>
      </c>
      <c r="C62">
        <v>1801</v>
      </c>
      <c r="D62" s="5">
        <f t="shared" si="1"/>
        <v>4.0439052570768345E-2</v>
      </c>
    </row>
    <row r="63" spans="1:4" x14ac:dyDescent="0.25">
      <c r="A63">
        <v>2022</v>
      </c>
      <c r="B63" t="s">
        <v>4</v>
      </c>
      <c r="C63">
        <v>1728</v>
      </c>
      <c r="D63" s="5">
        <f t="shared" si="1"/>
        <v>-1.7331022530329288E-3</v>
      </c>
    </row>
    <row r="64" spans="1:4" x14ac:dyDescent="0.25">
      <c r="A64">
        <v>2022</v>
      </c>
      <c r="B64" t="s">
        <v>5</v>
      </c>
      <c r="C64">
        <v>1642</v>
      </c>
      <c r="D64" s="5">
        <f t="shared" si="1"/>
        <v>-5.1415366839976891E-2</v>
      </c>
    </row>
    <row r="65" spans="1:4" x14ac:dyDescent="0.25">
      <c r="A65">
        <v>2022</v>
      </c>
      <c r="B65" t="s">
        <v>6</v>
      </c>
      <c r="C65">
        <v>1782</v>
      </c>
      <c r="D65" s="5">
        <f t="shared" si="1"/>
        <v>2.9462738301559793E-2</v>
      </c>
    </row>
    <row r="66" spans="1:4" x14ac:dyDescent="0.25">
      <c r="A66">
        <v>2022</v>
      </c>
      <c r="B66" t="s">
        <v>7</v>
      </c>
      <c r="C66">
        <v>1829</v>
      </c>
      <c r="D66" s="5">
        <f t="shared" ref="D66:D76" si="2">IFERROR( (C66 - INDEX($C:$C, MATCH(A66-1, $A:$A, 0))) / INDEX($C:$C, MATCH(A66-1, $A:$A, 0)), "" )</f>
        <v>5.6614673599075682E-2</v>
      </c>
    </row>
    <row r="67" spans="1:4" x14ac:dyDescent="0.25">
      <c r="A67">
        <v>2023</v>
      </c>
      <c r="B67" t="s">
        <v>3</v>
      </c>
      <c r="C67">
        <v>1871</v>
      </c>
      <c r="D67" s="5">
        <f t="shared" si="2"/>
        <v>3.886729594669628E-2</v>
      </c>
    </row>
    <row r="68" spans="1:4" x14ac:dyDescent="0.25">
      <c r="A68">
        <v>2023</v>
      </c>
      <c r="B68" t="s">
        <v>4</v>
      </c>
      <c r="C68">
        <v>1798</v>
      </c>
      <c r="D68" s="5">
        <f t="shared" si="2"/>
        <v>-1.665741254858412E-3</v>
      </c>
    </row>
    <row r="69" spans="1:4" x14ac:dyDescent="0.25">
      <c r="A69">
        <v>2023</v>
      </c>
      <c r="B69" t="s">
        <v>5</v>
      </c>
      <c r="C69">
        <v>1712</v>
      </c>
      <c r="D69" s="5">
        <f t="shared" si="2"/>
        <v>-4.9416990560799554E-2</v>
      </c>
    </row>
    <row r="70" spans="1:4" x14ac:dyDescent="0.25">
      <c r="A70">
        <v>2023</v>
      </c>
      <c r="B70" t="s">
        <v>6</v>
      </c>
      <c r="C70">
        <v>1852</v>
      </c>
      <c r="D70" s="5">
        <f t="shared" si="2"/>
        <v>2.8317601332593003E-2</v>
      </c>
    </row>
    <row r="71" spans="1:4" x14ac:dyDescent="0.25">
      <c r="A71">
        <v>2023</v>
      </c>
      <c r="B71" t="s">
        <v>7</v>
      </c>
      <c r="C71">
        <v>1899</v>
      </c>
      <c r="D71" s="5">
        <f t="shared" si="2"/>
        <v>5.4414214325374792E-2</v>
      </c>
    </row>
    <row r="72" spans="1:4" x14ac:dyDescent="0.25">
      <c r="A72">
        <v>2024</v>
      </c>
      <c r="B72" t="s">
        <v>3</v>
      </c>
      <c r="C72">
        <v>1941</v>
      </c>
      <c r="D72" s="5">
        <f t="shared" si="2"/>
        <v>3.7413148049171563E-2</v>
      </c>
    </row>
    <row r="73" spans="1:4" x14ac:dyDescent="0.25">
      <c r="A73">
        <v>2024</v>
      </c>
      <c r="B73" t="s">
        <v>4</v>
      </c>
      <c r="C73">
        <v>1868</v>
      </c>
      <c r="D73" s="5">
        <f t="shared" si="2"/>
        <v>-1.6034206306787815E-3</v>
      </c>
    </row>
    <row r="74" spans="1:4" x14ac:dyDescent="0.25">
      <c r="A74">
        <v>2024</v>
      </c>
      <c r="B74" t="s">
        <v>5</v>
      </c>
      <c r="C74">
        <v>1782</v>
      </c>
      <c r="D74" s="5">
        <f t="shared" si="2"/>
        <v>-4.7568145376803851E-2</v>
      </c>
    </row>
    <row r="75" spans="1:4" x14ac:dyDescent="0.25">
      <c r="A75">
        <v>2024</v>
      </c>
      <c r="B75" t="s">
        <v>6</v>
      </c>
      <c r="C75">
        <v>1922</v>
      </c>
      <c r="D75" s="5">
        <f t="shared" si="2"/>
        <v>2.7258150721539285E-2</v>
      </c>
    </row>
    <row r="76" spans="1:4" x14ac:dyDescent="0.25">
      <c r="A76">
        <v>2024</v>
      </c>
      <c r="B76" t="s">
        <v>7</v>
      </c>
      <c r="C76">
        <v>1969</v>
      </c>
      <c r="D76" s="5">
        <f t="shared" si="2"/>
        <v>5.2378407268840195E-2</v>
      </c>
    </row>
  </sheetData>
  <conditionalFormatting sqref="D2:D76">
    <cfRule type="iconSet" priority="1">
      <iconSet iconSet="3Symbols" showValue="0">
        <cfvo type="percent" val="0"/>
        <cfvo type="num" val="0"/>
        <cfvo type="num" val="0" gte="0"/>
      </iconSet>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AA551-2233-46C6-9280-E6626EFC61F8}">
  <dimension ref="A1:I76"/>
  <sheetViews>
    <sheetView workbookViewId="0">
      <selection activeCell="E10" sqref="E10"/>
    </sheetView>
  </sheetViews>
  <sheetFormatPr defaultRowHeight="15" x14ac:dyDescent="0.25"/>
  <cols>
    <col min="1" max="1" width="7.28515625" bestFit="1" customWidth="1"/>
    <col min="2" max="2" width="19" bestFit="1" customWidth="1"/>
    <col min="3" max="3" width="32.85546875" customWidth="1"/>
    <col min="4" max="4" width="23.7109375" bestFit="1" customWidth="1"/>
    <col min="6" max="6" width="8.28515625" customWidth="1"/>
  </cols>
  <sheetData>
    <row r="1" spans="1:9" x14ac:dyDescent="0.25">
      <c r="A1" t="s">
        <v>0</v>
      </c>
      <c r="B1" t="s">
        <v>1</v>
      </c>
      <c r="C1" t="s">
        <v>2</v>
      </c>
      <c r="D1" t="s">
        <v>21</v>
      </c>
      <c r="E1" t="s">
        <v>20</v>
      </c>
      <c r="F1" t="s">
        <v>22</v>
      </c>
    </row>
    <row r="2" spans="1:9" x14ac:dyDescent="0.25">
      <c r="A2">
        <v>2010</v>
      </c>
      <c r="B2" t="s">
        <v>3</v>
      </c>
      <c r="C2">
        <v>1161</v>
      </c>
      <c r="D2" s="5" t="str">
        <f t="shared" ref="D2:D65" si="0">IFERROR( (C2 - INDEX($C:$C, MATCH(A2-1, $A:$A, 0))) / INDEX($C:$C, MATCH(A2-1, $A:$A, 0)), "" )</f>
        <v/>
      </c>
    </row>
    <row r="3" spans="1:9" x14ac:dyDescent="0.25">
      <c r="A3">
        <v>2010</v>
      </c>
      <c r="B3" t="s">
        <v>4</v>
      </c>
      <c r="C3">
        <v>1088</v>
      </c>
      <c r="D3" s="5" t="str">
        <f t="shared" si="0"/>
        <v/>
      </c>
      <c r="I3" s="4"/>
    </row>
    <row r="4" spans="1:9" x14ac:dyDescent="0.25">
      <c r="A4">
        <v>2010</v>
      </c>
      <c r="B4" t="s">
        <v>5</v>
      </c>
      <c r="C4">
        <v>1002</v>
      </c>
      <c r="D4" s="5" t="str">
        <f t="shared" si="0"/>
        <v/>
      </c>
    </row>
    <row r="5" spans="1:9" x14ac:dyDescent="0.25">
      <c r="A5">
        <v>2010</v>
      </c>
      <c r="B5" t="s">
        <v>6</v>
      </c>
      <c r="C5">
        <v>1142</v>
      </c>
      <c r="D5" s="5" t="str">
        <f t="shared" si="0"/>
        <v/>
      </c>
    </row>
    <row r="6" spans="1:9" x14ac:dyDescent="0.25">
      <c r="A6">
        <v>2010</v>
      </c>
      <c r="B6" t="s">
        <v>7</v>
      </c>
      <c r="C6">
        <v>1189</v>
      </c>
      <c r="D6" s="5" t="str">
        <f t="shared" si="0"/>
        <v/>
      </c>
    </row>
    <row r="7" spans="1:9" x14ac:dyDescent="0.25">
      <c r="A7">
        <v>2011</v>
      </c>
      <c r="B7" t="s">
        <v>3</v>
      </c>
      <c r="C7">
        <v>1231</v>
      </c>
      <c r="D7" s="5">
        <f t="shared" si="0"/>
        <v>6.0292850990525407E-2</v>
      </c>
      <c r="E7" t="str">
        <f t="shared" ref="E7:E33" si="1">IF(D7&gt;0,"Up", IF(D7&lt;0,"Down","Neutral"))</f>
        <v>Up</v>
      </c>
      <c r="F7" t="str">
        <f t="shared" ref="F7:F33" si="2">IF(E7="Up","▲", IF(E7="Down","▼","●"))</f>
        <v>▲</v>
      </c>
    </row>
    <row r="8" spans="1:9" x14ac:dyDescent="0.25">
      <c r="A8">
        <v>2011</v>
      </c>
      <c r="B8" t="s">
        <v>4</v>
      </c>
      <c r="C8">
        <v>1158</v>
      </c>
      <c r="D8" s="5">
        <f t="shared" si="0"/>
        <v>-2.5839793281653748E-3</v>
      </c>
      <c r="E8" t="str">
        <f t="shared" si="1"/>
        <v>Down</v>
      </c>
      <c r="F8" t="str">
        <f>IF(E8="Up","▲", IF(E8="Down","▼","●"))</f>
        <v>▼</v>
      </c>
    </row>
    <row r="9" spans="1:9" x14ac:dyDescent="0.25">
      <c r="A9">
        <v>2011</v>
      </c>
      <c r="B9" t="s">
        <v>5</v>
      </c>
      <c r="C9">
        <v>1072</v>
      </c>
      <c r="D9" s="5">
        <f t="shared" si="0"/>
        <v>-7.6658053402239454E-2</v>
      </c>
      <c r="E9" t="str">
        <f t="shared" si="1"/>
        <v>Down</v>
      </c>
      <c r="F9" t="str">
        <f t="shared" si="2"/>
        <v>▼</v>
      </c>
    </row>
    <row r="10" spans="1:9" x14ac:dyDescent="0.25">
      <c r="A10">
        <v>2011</v>
      </c>
      <c r="B10" t="s">
        <v>6</v>
      </c>
      <c r="C10">
        <v>1212</v>
      </c>
      <c r="D10" s="5">
        <f t="shared" si="0"/>
        <v>4.3927648578811367E-2</v>
      </c>
      <c r="E10" t="str">
        <f t="shared" si="1"/>
        <v>Up</v>
      </c>
      <c r="F10" t="str">
        <f t="shared" si="2"/>
        <v>▲</v>
      </c>
    </row>
    <row r="11" spans="1:9" x14ac:dyDescent="0.25">
      <c r="A11">
        <v>2011</v>
      </c>
      <c r="B11" t="s">
        <v>7</v>
      </c>
      <c r="C11">
        <v>1259</v>
      </c>
      <c r="D11" s="5">
        <f t="shared" si="0"/>
        <v>8.4409991386735578E-2</v>
      </c>
      <c r="E11" t="str">
        <f t="shared" si="1"/>
        <v>Up</v>
      </c>
      <c r="F11" t="str">
        <f t="shared" si="2"/>
        <v>▲</v>
      </c>
    </row>
    <row r="12" spans="1:9" x14ac:dyDescent="0.25">
      <c r="A12">
        <v>2012</v>
      </c>
      <c r="B12" t="s">
        <v>3</v>
      </c>
      <c r="C12">
        <v>1301</v>
      </c>
      <c r="D12" s="5">
        <f t="shared" si="0"/>
        <v>5.686433793663688E-2</v>
      </c>
      <c r="E12" t="str">
        <f t="shared" si="1"/>
        <v>Up</v>
      </c>
      <c r="F12" t="str">
        <f t="shared" si="2"/>
        <v>▲</v>
      </c>
    </row>
    <row r="13" spans="1:9" x14ac:dyDescent="0.25">
      <c r="A13">
        <v>2012</v>
      </c>
      <c r="B13" t="s">
        <v>4</v>
      </c>
      <c r="C13">
        <v>1228</v>
      </c>
      <c r="D13" s="5">
        <f t="shared" si="0"/>
        <v>-2.437043054427295E-3</v>
      </c>
      <c r="E13" t="str">
        <f t="shared" si="1"/>
        <v>Down</v>
      </c>
      <c r="F13" t="str">
        <f t="shared" si="2"/>
        <v>▼</v>
      </c>
    </row>
    <row r="14" spans="1:9" x14ac:dyDescent="0.25">
      <c r="A14">
        <v>2012</v>
      </c>
      <c r="B14" t="s">
        <v>5</v>
      </c>
      <c r="C14">
        <v>1142</v>
      </c>
      <c r="D14" s="5">
        <f t="shared" si="0"/>
        <v>-7.2298943948009745E-2</v>
      </c>
      <c r="E14" t="str">
        <f t="shared" si="1"/>
        <v>Down</v>
      </c>
      <c r="F14" t="str">
        <f t="shared" si="2"/>
        <v>▼</v>
      </c>
    </row>
    <row r="15" spans="1:9" x14ac:dyDescent="0.25">
      <c r="A15">
        <v>2012</v>
      </c>
      <c r="B15" t="s">
        <v>6</v>
      </c>
      <c r="C15">
        <v>1282</v>
      </c>
      <c r="D15" s="5">
        <f t="shared" si="0"/>
        <v>4.1429731925264016E-2</v>
      </c>
      <c r="E15" t="str">
        <f t="shared" si="1"/>
        <v>Up</v>
      </c>
      <c r="F15" t="str">
        <f t="shared" si="2"/>
        <v>▲</v>
      </c>
    </row>
    <row r="16" spans="1:9" x14ac:dyDescent="0.25">
      <c r="A16">
        <v>2012</v>
      </c>
      <c r="B16" t="s">
        <v>7</v>
      </c>
      <c r="C16">
        <v>1329</v>
      </c>
      <c r="D16" s="5">
        <f t="shared" si="0"/>
        <v>7.9610073111291632E-2</v>
      </c>
      <c r="E16" t="str">
        <f t="shared" si="1"/>
        <v>Up</v>
      </c>
      <c r="F16" t="str">
        <f t="shared" si="2"/>
        <v>▲</v>
      </c>
    </row>
    <row r="17" spans="1:6" x14ac:dyDescent="0.25">
      <c r="A17">
        <v>2013</v>
      </c>
      <c r="B17" t="s">
        <v>3</v>
      </c>
      <c r="C17">
        <v>1371</v>
      </c>
      <c r="D17" s="5">
        <f t="shared" si="0"/>
        <v>5.3804765564950036E-2</v>
      </c>
      <c r="E17" t="str">
        <f t="shared" si="1"/>
        <v>Up</v>
      </c>
      <c r="F17" t="str">
        <f t="shared" si="2"/>
        <v>▲</v>
      </c>
    </row>
    <row r="18" spans="1:6" x14ac:dyDescent="0.25">
      <c r="A18">
        <v>2013</v>
      </c>
      <c r="B18" t="s">
        <v>4</v>
      </c>
      <c r="C18">
        <v>1298</v>
      </c>
      <c r="D18" s="5">
        <f t="shared" si="0"/>
        <v>-2.3059185242121443E-3</v>
      </c>
      <c r="E18" t="str">
        <f t="shared" si="1"/>
        <v>Down</v>
      </c>
      <c r="F18" t="str">
        <f t="shared" si="2"/>
        <v>▼</v>
      </c>
    </row>
    <row r="19" spans="1:6" x14ac:dyDescent="0.25">
      <c r="A19">
        <v>2013</v>
      </c>
      <c r="B19" t="s">
        <v>5</v>
      </c>
      <c r="C19">
        <v>1212</v>
      </c>
      <c r="D19" s="5">
        <f t="shared" si="0"/>
        <v>-6.8408916218293619E-2</v>
      </c>
      <c r="E19" t="str">
        <f t="shared" si="1"/>
        <v>Down</v>
      </c>
      <c r="F19" t="str">
        <f t="shared" si="2"/>
        <v>▼</v>
      </c>
    </row>
    <row r="20" spans="1:6" x14ac:dyDescent="0.25">
      <c r="A20">
        <v>2013</v>
      </c>
      <c r="B20" t="s">
        <v>6</v>
      </c>
      <c r="C20">
        <v>1352</v>
      </c>
      <c r="D20" s="5">
        <f t="shared" si="0"/>
        <v>3.9200614911606459E-2</v>
      </c>
      <c r="E20" t="str">
        <f t="shared" si="1"/>
        <v>Up</v>
      </c>
      <c r="F20" t="str">
        <f t="shared" si="2"/>
        <v>▲</v>
      </c>
    </row>
    <row r="21" spans="1:6" x14ac:dyDescent="0.25">
      <c r="A21">
        <v>2013</v>
      </c>
      <c r="B21" t="s">
        <v>7</v>
      </c>
      <c r="C21">
        <v>1399</v>
      </c>
      <c r="D21" s="5">
        <f t="shared" si="0"/>
        <v>7.5326671790930055E-2</v>
      </c>
      <c r="E21" t="str">
        <f t="shared" si="1"/>
        <v>Up</v>
      </c>
      <c r="F21" t="str">
        <f t="shared" si="2"/>
        <v>▲</v>
      </c>
    </row>
    <row r="22" spans="1:6" x14ac:dyDescent="0.25">
      <c r="A22">
        <v>2014</v>
      </c>
      <c r="B22" t="s">
        <v>3</v>
      </c>
      <c r="C22">
        <v>1441</v>
      </c>
      <c r="D22" s="5">
        <f t="shared" si="0"/>
        <v>5.1057622173595912E-2</v>
      </c>
      <c r="E22" t="str">
        <f t="shared" si="1"/>
        <v>Up</v>
      </c>
      <c r="F22" t="str">
        <f t="shared" si="2"/>
        <v>▲</v>
      </c>
    </row>
    <row r="23" spans="1:6" x14ac:dyDescent="0.25">
      <c r="A23">
        <v>2014</v>
      </c>
      <c r="B23" t="s">
        <v>4</v>
      </c>
      <c r="C23">
        <v>1368</v>
      </c>
      <c r="D23" s="5">
        <f t="shared" si="0"/>
        <v>-2.1881838074398249E-3</v>
      </c>
      <c r="E23" t="str">
        <f t="shared" si="1"/>
        <v>Down</v>
      </c>
      <c r="F23" t="str">
        <f t="shared" si="2"/>
        <v>▼</v>
      </c>
    </row>
    <row r="24" spans="1:6" x14ac:dyDescent="0.25">
      <c r="A24">
        <v>2014</v>
      </c>
      <c r="B24" t="s">
        <v>5</v>
      </c>
      <c r="C24">
        <v>1282</v>
      </c>
      <c r="D24" s="5">
        <f t="shared" si="0"/>
        <v>-6.4916119620714807E-2</v>
      </c>
      <c r="E24" t="str">
        <f t="shared" si="1"/>
        <v>Down</v>
      </c>
      <c r="F24" t="str">
        <f t="shared" si="2"/>
        <v>▼</v>
      </c>
    </row>
    <row r="25" spans="1:6" x14ac:dyDescent="0.25">
      <c r="A25">
        <v>2014</v>
      </c>
      <c r="B25" t="s">
        <v>6</v>
      </c>
      <c r="C25">
        <v>1422</v>
      </c>
      <c r="D25" s="5">
        <f t="shared" si="0"/>
        <v>3.7199124726477024E-2</v>
      </c>
      <c r="E25" t="str">
        <f t="shared" si="1"/>
        <v>Up</v>
      </c>
      <c r="F25" t="str">
        <f t="shared" si="2"/>
        <v>▲</v>
      </c>
    </row>
    <row r="26" spans="1:6" x14ac:dyDescent="0.25">
      <c r="A26">
        <v>2014</v>
      </c>
      <c r="B26" t="s">
        <v>7</v>
      </c>
      <c r="C26">
        <v>1469</v>
      </c>
      <c r="D26" s="5">
        <f t="shared" si="0"/>
        <v>7.148067104303428E-2</v>
      </c>
      <c r="E26" t="str">
        <f t="shared" si="1"/>
        <v>Up</v>
      </c>
      <c r="F26" t="str">
        <f t="shared" si="2"/>
        <v>▲</v>
      </c>
    </row>
    <row r="27" spans="1:6" x14ac:dyDescent="0.25">
      <c r="A27">
        <v>2015</v>
      </c>
      <c r="B27" t="s">
        <v>3</v>
      </c>
      <c r="C27">
        <v>1411</v>
      </c>
      <c r="D27" s="5">
        <f t="shared" si="0"/>
        <v>-2.0818875780707843E-2</v>
      </c>
      <c r="E27" t="str">
        <f t="shared" si="1"/>
        <v>Down</v>
      </c>
      <c r="F27" t="str">
        <f t="shared" si="2"/>
        <v>▼</v>
      </c>
    </row>
    <row r="28" spans="1:6" x14ac:dyDescent="0.25">
      <c r="A28">
        <v>2015</v>
      </c>
      <c r="B28" t="s">
        <v>4</v>
      </c>
      <c r="C28">
        <v>1338</v>
      </c>
      <c r="D28" s="5">
        <f t="shared" si="0"/>
        <v>-7.1478140180430264E-2</v>
      </c>
      <c r="E28" t="str">
        <f t="shared" si="1"/>
        <v>Down</v>
      </c>
      <c r="F28" t="str">
        <f t="shared" si="2"/>
        <v>▼</v>
      </c>
    </row>
    <row r="29" spans="1:6" x14ac:dyDescent="0.25">
      <c r="A29">
        <v>2015</v>
      </c>
      <c r="B29" t="s">
        <v>5</v>
      </c>
      <c r="C29">
        <v>1252</v>
      </c>
      <c r="D29" s="5">
        <f t="shared" si="0"/>
        <v>-0.13115891741845939</v>
      </c>
      <c r="E29" t="str">
        <f t="shared" si="1"/>
        <v>Down</v>
      </c>
      <c r="F29" t="str">
        <f t="shared" si="2"/>
        <v>▼</v>
      </c>
    </row>
    <row r="30" spans="1:6" x14ac:dyDescent="0.25">
      <c r="A30">
        <v>2015</v>
      </c>
      <c r="B30" t="s">
        <v>6</v>
      </c>
      <c r="C30">
        <v>1392</v>
      </c>
      <c r="D30" s="5">
        <f t="shared" si="0"/>
        <v>-3.4004163775156145E-2</v>
      </c>
      <c r="E30" t="str">
        <f t="shared" si="1"/>
        <v>Down</v>
      </c>
      <c r="F30" t="str">
        <f t="shared" si="2"/>
        <v>▼</v>
      </c>
    </row>
    <row r="31" spans="1:6" x14ac:dyDescent="0.25">
      <c r="A31">
        <v>2015</v>
      </c>
      <c r="B31" t="s">
        <v>7</v>
      </c>
      <c r="C31">
        <v>1439</v>
      </c>
      <c r="D31" s="5">
        <f t="shared" si="0"/>
        <v>-1.3879250520471894E-3</v>
      </c>
      <c r="E31" t="str">
        <f t="shared" si="1"/>
        <v>Down</v>
      </c>
      <c r="F31" t="str">
        <f t="shared" si="2"/>
        <v>▼</v>
      </c>
    </row>
    <row r="32" spans="1:6" x14ac:dyDescent="0.25">
      <c r="A32">
        <v>2016</v>
      </c>
      <c r="B32" t="s">
        <v>3</v>
      </c>
      <c r="C32">
        <v>1481</v>
      </c>
      <c r="D32" s="5">
        <f t="shared" si="0"/>
        <v>4.9610205527994333E-2</v>
      </c>
      <c r="E32" t="str">
        <f t="shared" si="1"/>
        <v>Up</v>
      </c>
      <c r="F32" t="str">
        <f t="shared" si="2"/>
        <v>▲</v>
      </c>
    </row>
    <row r="33" spans="1:6" x14ac:dyDescent="0.25">
      <c r="A33">
        <v>2016</v>
      </c>
      <c r="B33" t="s">
        <v>4</v>
      </c>
      <c r="C33">
        <v>1408</v>
      </c>
      <c r="D33" s="5">
        <f t="shared" si="0"/>
        <v>-2.1261516654854712E-3</v>
      </c>
      <c r="E33" t="str">
        <f t="shared" si="1"/>
        <v>Down</v>
      </c>
      <c r="F33" t="str">
        <f t="shared" si="2"/>
        <v>▼</v>
      </c>
    </row>
    <row r="34" spans="1:6" x14ac:dyDescent="0.25">
      <c r="A34">
        <v>2016</v>
      </c>
      <c r="B34" t="s">
        <v>5</v>
      </c>
      <c r="C34">
        <v>1322</v>
      </c>
      <c r="D34" s="5">
        <f t="shared" si="0"/>
        <v>-6.3075832742735649E-2</v>
      </c>
      <c r="E34" t="str">
        <f t="shared" ref="E34:E65" si="3">IF(D34&gt;0,"Up", IF(D34&lt;0,"Down","Neutral"))</f>
        <v>Down</v>
      </c>
      <c r="F34" t="str">
        <f t="shared" ref="F34:F65" si="4">IF(E34="Up","▲", IF(E34="Down","▼","●"))</f>
        <v>▼</v>
      </c>
    </row>
    <row r="35" spans="1:6" x14ac:dyDescent="0.25">
      <c r="A35">
        <v>2016</v>
      </c>
      <c r="B35" t="s">
        <v>6</v>
      </c>
      <c r="C35">
        <v>1462</v>
      </c>
      <c r="D35" s="5">
        <f t="shared" si="0"/>
        <v>3.614457831325301E-2</v>
      </c>
      <c r="E35" t="str">
        <f t="shared" si="3"/>
        <v>Up</v>
      </c>
      <c r="F35" t="str">
        <f t="shared" si="4"/>
        <v>▲</v>
      </c>
    </row>
    <row r="36" spans="1:6" x14ac:dyDescent="0.25">
      <c r="A36">
        <v>2016</v>
      </c>
      <c r="B36" t="s">
        <v>7</v>
      </c>
      <c r="C36">
        <v>1509</v>
      </c>
      <c r="D36" s="5">
        <f t="shared" si="0"/>
        <v>6.9454287739192058E-2</v>
      </c>
      <c r="E36" t="str">
        <f t="shared" si="3"/>
        <v>Up</v>
      </c>
      <c r="F36" t="str">
        <f t="shared" si="4"/>
        <v>▲</v>
      </c>
    </row>
    <row r="37" spans="1:6" x14ac:dyDescent="0.25">
      <c r="A37">
        <v>2017</v>
      </c>
      <c r="B37" t="s">
        <v>3</v>
      </c>
      <c r="C37">
        <v>1551</v>
      </c>
      <c r="D37" s="5">
        <f t="shared" si="0"/>
        <v>4.7265361242403783E-2</v>
      </c>
      <c r="E37" t="str">
        <f t="shared" si="3"/>
        <v>Up</v>
      </c>
      <c r="F37" t="str">
        <f t="shared" si="4"/>
        <v>▲</v>
      </c>
    </row>
    <row r="38" spans="1:6" x14ac:dyDescent="0.25">
      <c r="A38">
        <v>2017</v>
      </c>
      <c r="B38" t="s">
        <v>4</v>
      </c>
      <c r="C38">
        <v>1478</v>
      </c>
      <c r="D38" s="5">
        <f t="shared" si="0"/>
        <v>-2.0256583389601621E-3</v>
      </c>
      <c r="E38" t="str">
        <f t="shared" si="3"/>
        <v>Down</v>
      </c>
      <c r="F38" t="str">
        <f t="shared" si="4"/>
        <v>▼</v>
      </c>
    </row>
    <row r="39" spans="1:6" x14ac:dyDescent="0.25">
      <c r="A39">
        <v>2017</v>
      </c>
      <c r="B39" t="s">
        <v>5</v>
      </c>
      <c r="C39">
        <v>1392</v>
      </c>
      <c r="D39" s="5">
        <f t="shared" si="0"/>
        <v>-6.0094530722484808E-2</v>
      </c>
      <c r="E39" t="str">
        <f t="shared" si="3"/>
        <v>Down</v>
      </c>
      <c r="F39" t="str">
        <f t="shared" si="4"/>
        <v>▼</v>
      </c>
    </row>
    <row r="40" spans="1:6" x14ac:dyDescent="0.25">
      <c r="A40">
        <v>2017</v>
      </c>
      <c r="B40" t="s">
        <v>6</v>
      </c>
      <c r="C40">
        <v>1532</v>
      </c>
      <c r="D40" s="5">
        <f t="shared" si="0"/>
        <v>3.4436191762322751E-2</v>
      </c>
      <c r="E40" t="str">
        <f t="shared" si="3"/>
        <v>Up</v>
      </c>
      <c r="F40" t="str">
        <f t="shared" si="4"/>
        <v>▲</v>
      </c>
    </row>
    <row r="41" spans="1:6" x14ac:dyDescent="0.25">
      <c r="A41">
        <v>2017</v>
      </c>
      <c r="B41" t="s">
        <v>7</v>
      </c>
      <c r="C41">
        <v>1579</v>
      </c>
      <c r="D41" s="5">
        <f t="shared" si="0"/>
        <v>6.6171505739365297E-2</v>
      </c>
      <c r="E41" t="str">
        <f t="shared" si="3"/>
        <v>Up</v>
      </c>
      <c r="F41" t="str">
        <f t="shared" si="4"/>
        <v>▲</v>
      </c>
    </row>
    <row r="42" spans="1:6" x14ac:dyDescent="0.25">
      <c r="A42">
        <v>2018</v>
      </c>
      <c r="B42" t="s">
        <v>3</v>
      </c>
      <c r="C42">
        <v>1621</v>
      </c>
      <c r="D42" s="5">
        <f t="shared" si="0"/>
        <v>4.5132172791747263E-2</v>
      </c>
      <c r="E42" t="str">
        <f t="shared" si="3"/>
        <v>Up</v>
      </c>
      <c r="F42" t="str">
        <f t="shared" si="4"/>
        <v>▲</v>
      </c>
    </row>
    <row r="43" spans="1:6" x14ac:dyDescent="0.25">
      <c r="A43">
        <v>2018</v>
      </c>
      <c r="B43" t="s">
        <v>4</v>
      </c>
      <c r="C43">
        <v>1548</v>
      </c>
      <c r="D43" s="5">
        <f t="shared" si="0"/>
        <v>-1.9342359767891683E-3</v>
      </c>
      <c r="E43" t="str">
        <f t="shared" si="3"/>
        <v>Down</v>
      </c>
      <c r="F43" t="str">
        <f t="shared" si="4"/>
        <v>▼</v>
      </c>
    </row>
    <row r="44" spans="1:6" x14ac:dyDescent="0.25">
      <c r="A44">
        <v>2018</v>
      </c>
      <c r="B44" t="s">
        <v>5</v>
      </c>
      <c r="C44">
        <v>1462</v>
      </c>
      <c r="D44" s="5">
        <f t="shared" si="0"/>
        <v>-5.738233397807866E-2</v>
      </c>
      <c r="E44" t="str">
        <f t="shared" si="3"/>
        <v>Down</v>
      </c>
      <c r="F44" t="str">
        <f t="shared" si="4"/>
        <v>▼</v>
      </c>
    </row>
    <row r="45" spans="1:6" x14ac:dyDescent="0.25">
      <c r="A45">
        <v>2018</v>
      </c>
      <c r="B45" t="s">
        <v>6</v>
      </c>
      <c r="C45">
        <v>1602</v>
      </c>
      <c r="D45" s="5">
        <f t="shared" si="0"/>
        <v>3.2882011605415859E-2</v>
      </c>
      <c r="E45" t="str">
        <f t="shared" si="3"/>
        <v>Up</v>
      </c>
      <c r="F45" t="str">
        <f t="shared" si="4"/>
        <v>▲</v>
      </c>
    </row>
    <row r="46" spans="1:6" x14ac:dyDescent="0.25">
      <c r="A46">
        <v>2018</v>
      </c>
      <c r="B46" t="s">
        <v>7</v>
      </c>
      <c r="C46">
        <v>1649</v>
      </c>
      <c r="D46" s="5">
        <f t="shared" si="0"/>
        <v>6.3185041908446163E-2</v>
      </c>
      <c r="E46" t="str">
        <f t="shared" si="3"/>
        <v>Up</v>
      </c>
      <c r="F46" t="str">
        <f t="shared" si="4"/>
        <v>▲</v>
      </c>
    </row>
    <row r="47" spans="1:6" x14ac:dyDescent="0.25">
      <c r="A47">
        <v>2019</v>
      </c>
      <c r="B47" t="s">
        <v>3</v>
      </c>
      <c r="C47">
        <v>1691</v>
      </c>
      <c r="D47" s="5">
        <f t="shared" si="0"/>
        <v>4.3183220234423197E-2</v>
      </c>
      <c r="E47" t="str">
        <f t="shared" si="3"/>
        <v>Up</v>
      </c>
      <c r="F47" t="str">
        <f t="shared" si="4"/>
        <v>▲</v>
      </c>
    </row>
    <row r="48" spans="1:6" x14ac:dyDescent="0.25">
      <c r="A48">
        <v>2019</v>
      </c>
      <c r="B48" t="s">
        <v>4</v>
      </c>
      <c r="C48">
        <v>1618</v>
      </c>
      <c r="D48" s="5">
        <f t="shared" si="0"/>
        <v>-1.8507094386181369E-3</v>
      </c>
      <c r="E48" t="str">
        <f t="shared" si="3"/>
        <v>Down</v>
      </c>
      <c r="F48" t="str">
        <f t="shared" si="4"/>
        <v>▼</v>
      </c>
    </row>
    <row r="49" spans="1:6" x14ac:dyDescent="0.25">
      <c r="A49">
        <v>2019</v>
      </c>
      <c r="B49" t="s">
        <v>5</v>
      </c>
      <c r="C49">
        <v>1532</v>
      </c>
      <c r="D49" s="5">
        <f t="shared" si="0"/>
        <v>-5.4904380012338064E-2</v>
      </c>
      <c r="E49" t="str">
        <f t="shared" si="3"/>
        <v>Down</v>
      </c>
      <c r="F49" t="str">
        <f t="shared" si="4"/>
        <v>▼</v>
      </c>
    </row>
    <row r="50" spans="1:6" x14ac:dyDescent="0.25">
      <c r="A50">
        <v>2019</v>
      </c>
      <c r="B50" t="s">
        <v>6</v>
      </c>
      <c r="C50">
        <v>1672</v>
      </c>
      <c r="D50" s="5">
        <f t="shared" si="0"/>
        <v>3.1462060456508331E-2</v>
      </c>
      <c r="E50" t="str">
        <f t="shared" si="3"/>
        <v>Up</v>
      </c>
      <c r="F50" t="str">
        <f t="shared" si="4"/>
        <v>▲</v>
      </c>
    </row>
    <row r="51" spans="1:6" x14ac:dyDescent="0.25">
      <c r="A51">
        <v>2019</v>
      </c>
      <c r="B51" t="s">
        <v>7</v>
      </c>
      <c r="C51">
        <v>1719</v>
      </c>
      <c r="D51" s="5">
        <f t="shared" si="0"/>
        <v>6.0456508328192472E-2</v>
      </c>
      <c r="E51" t="str">
        <f t="shared" si="3"/>
        <v>Up</v>
      </c>
      <c r="F51" t="str">
        <f t="shared" si="4"/>
        <v>▲</v>
      </c>
    </row>
    <row r="52" spans="1:6" x14ac:dyDescent="0.25">
      <c r="A52">
        <v>2020</v>
      </c>
      <c r="B52" t="s">
        <v>3</v>
      </c>
      <c r="C52">
        <v>1661</v>
      </c>
      <c r="D52" s="5">
        <f t="shared" si="0"/>
        <v>-1.7740981667652277E-2</v>
      </c>
      <c r="E52" t="str">
        <f t="shared" si="3"/>
        <v>Down</v>
      </c>
      <c r="F52" t="str">
        <f t="shared" si="4"/>
        <v>▼</v>
      </c>
    </row>
    <row r="53" spans="1:6" x14ac:dyDescent="0.25">
      <c r="A53">
        <v>2020</v>
      </c>
      <c r="B53" t="s">
        <v>4</v>
      </c>
      <c r="C53">
        <v>1588</v>
      </c>
      <c r="D53" s="5">
        <f t="shared" si="0"/>
        <v>-6.0910703725606148E-2</v>
      </c>
      <c r="E53" t="str">
        <f t="shared" si="3"/>
        <v>Down</v>
      </c>
      <c r="F53" t="str">
        <f t="shared" si="4"/>
        <v>▼</v>
      </c>
    </row>
    <row r="54" spans="1:6" x14ac:dyDescent="0.25">
      <c r="A54">
        <v>2020</v>
      </c>
      <c r="B54" t="s">
        <v>5</v>
      </c>
      <c r="C54">
        <v>1502</v>
      </c>
      <c r="D54" s="5">
        <f t="shared" si="0"/>
        <v>-0.11176818450620934</v>
      </c>
      <c r="E54" t="str">
        <f t="shared" si="3"/>
        <v>Down</v>
      </c>
      <c r="F54" t="str">
        <f t="shared" si="4"/>
        <v>▼</v>
      </c>
    </row>
    <row r="55" spans="1:6" x14ac:dyDescent="0.25">
      <c r="A55">
        <v>2020</v>
      </c>
      <c r="B55" t="s">
        <v>6</v>
      </c>
      <c r="C55">
        <v>1642</v>
      </c>
      <c r="D55" s="5">
        <f t="shared" si="0"/>
        <v>-2.8976936723832052E-2</v>
      </c>
      <c r="E55" t="str">
        <f t="shared" si="3"/>
        <v>Down</v>
      </c>
      <c r="F55" t="str">
        <f t="shared" si="4"/>
        <v>▼</v>
      </c>
    </row>
    <row r="56" spans="1:6" x14ac:dyDescent="0.25">
      <c r="A56">
        <v>2020</v>
      </c>
      <c r="B56" t="s">
        <v>7</v>
      </c>
      <c r="C56">
        <v>1689</v>
      </c>
      <c r="D56" s="5">
        <f t="shared" si="0"/>
        <v>-1.1827321111768185E-3</v>
      </c>
      <c r="E56" t="str">
        <f t="shared" si="3"/>
        <v>Down</v>
      </c>
      <c r="F56" t="str">
        <f t="shared" si="4"/>
        <v>▼</v>
      </c>
    </row>
    <row r="57" spans="1:6" x14ac:dyDescent="0.25">
      <c r="A57">
        <v>2021</v>
      </c>
      <c r="B57" t="s">
        <v>3</v>
      </c>
      <c r="C57">
        <v>1731</v>
      </c>
      <c r="D57" s="5">
        <f t="shared" si="0"/>
        <v>4.2143287176399757E-2</v>
      </c>
      <c r="E57" t="str">
        <f t="shared" si="3"/>
        <v>Up</v>
      </c>
      <c r="F57" t="str">
        <f t="shared" si="4"/>
        <v>▲</v>
      </c>
    </row>
    <row r="58" spans="1:6" x14ac:dyDescent="0.25">
      <c r="A58">
        <v>2021</v>
      </c>
      <c r="B58" t="s">
        <v>4</v>
      </c>
      <c r="C58">
        <v>1658</v>
      </c>
      <c r="D58" s="5">
        <f t="shared" si="0"/>
        <v>-1.8061408789885611E-3</v>
      </c>
      <c r="E58" t="str">
        <f t="shared" si="3"/>
        <v>Down</v>
      </c>
      <c r="F58" t="str">
        <f t="shared" si="4"/>
        <v>▼</v>
      </c>
    </row>
    <row r="59" spans="1:6" x14ac:dyDescent="0.25">
      <c r="A59">
        <v>2021</v>
      </c>
      <c r="B59" t="s">
        <v>5</v>
      </c>
      <c r="C59">
        <v>1572</v>
      </c>
      <c r="D59" s="5">
        <f t="shared" si="0"/>
        <v>-5.3582179409993977E-2</v>
      </c>
      <c r="E59" t="str">
        <f t="shared" si="3"/>
        <v>Down</v>
      </c>
      <c r="F59" t="str">
        <f t="shared" si="4"/>
        <v>▼</v>
      </c>
    </row>
    <row r="60" spans="1:6" x14ac:dyDescent="0.25">
      <c r="A60">
        <v>2021</v>
      </c>
      <c r="B60" t="s">
        <v>6</v>
      </c>
      <c r="C60">
        <v>1712</v>
      </c>
      <c r="D60" s="5">
        <f t="shared" si="0"/>
        <v>3.0704394942805538E-2</v>
      </c>
      <c r="E60" t="str">
        <f t="shared" si="3"/>
        <v>Up</v>
      </c>
      <c r="F60" t="str">
        <f t="shared" si="4"/>
        <v>▲</v>
      </c>
    </row>
    <row r="61" spans="1:6" x14ac:dyDescent="0.25">
      <c r="A61">
        <v>2021</v>
      </c>
      <c r="B61" t="s">
        <v>7</v>
      </c>
      <c r="C61">
        <v>1759</v>
      </c>
      <c r="D61" s="5">
        <f t="shared" si="0"/>
        <v>5.9000602046959665E-2</v>
      </c>
      <c r="E61" t="str">
        <f t="shared" si="3"/>
        <v>Up</v>
      </c>
      <c r="F61" t="str">
        <f t="shared" si="4"/>
        <v>▲</v>
      </c>
    </row>
    <row r="62" spans="1:6" x14ac:dyDescent="0.25">
      <c r="A62">
        <v>2022</v>
      </c>
      <c r="B62" t="s">
        <v>3</v>
      </c>
      <c r="C62">
        <v>1801</v>
      </c>
      <c r="D62" s="5">
        <f t="shared" si="0"/>
        <v>4.0439052570768345E-2</v>
      </c>
      <c r="E62" t="str">
        <f t="shared" si="3"/>
        <v>Up</v>
      </c>
      <c r="F62" t="str">
        <f t="shared" si="4"/>
        <v>▲</v>
      </c>
    </row>
    <row r="63" spans="1:6" x14ac:dyDescent="0.25">
      <c r="A63">
        <v>2022</v>
      </c>
      <c r="B63" t="s">
        <v>4</v>
      </c>
      <c r="C63">
        <v>1728</v>
      </c>
      <c r="D63" s="5">
        <f t="shared" si="0"/>
        <v>-1.7331022530329288E-3</v>
      </c>
      <c r="E63" t="str">
        <f t="shared" si="3"/>
        <v>Down</v>
      </c>
      <c r="F63" t="str">
        <f t="shared" si="4"/>
        <v>▼</v>
      </c>
    </row>
    <row r="64" spans="1:6" x14ac:dyDescent="0.25">
      <c r="A64">
        <v>2022</v>
      </c>
      <c r="B64" t="s">
        <v>5</v>
      </c>
      <c r="C64">
        <v>1642</v>
      </c>
      <c r="D64" s="5">
        <f t="shared" si="0"/>
        <v>-5.1415366839976891E-2</v>
      </c>
      <c r="E64" t="str">
        <f t="shared" si="3"/>
        <v>Down</v>
      </c>
      <c r="F64" t="str">
        <f t="shared" si="4"/>
        <v>▼</v>
      </c>
    </row>
    <row r="65" spans="1:6" x14ac:dyDescent="0.25">
      <c r="A65">
        <v>2022</v>
      </c>
      <c r="B65" t="s">
        <v>6</v>
      </c>
      <c r="C65">
        <v>1782</v>
      </c>
      <c r="D65" s="5">
        <f t="shared" si="0"/>
        <v>2.9462738301559793E-2</v>
      </c>
      <c r="E65" t="str">
        <f t="shared" si="3"/>
        <v>Up</v>
      </c>
      <c r="F65" t="str">
        <f t="shared" si="4"/>
        <v>▲</v>
      </c>
    </row>
    <row r="66" spans="1:6" x14ac:dyDescent="0.25">
      <c r="A66">
        <v>2022</v>
      </c>
      <c r="B66" t="s">
        <v>7</v>
      </c>
      <c r="C66">
        <v>1829</v>
      </c>
      <c r="D66" s="5">
        <f t="shared" ref="D66:D76" si="5">IFERROR( (C66 - INDEX($C:$C, MATCH(A66-1, $A:$A, 0))) / INDEX($C:$C, MATCH(A66-1, $A:$A, 0)), "" )</f>
        <v>5.6614673599075682E-2</v>
      </c>
      <c r="E66" t="str">
        <f t="shared" ref="E66:E97" si="6">IF(D66&gt;0,"Up", IF(D66&lt;0,"Down","Neutral"))</f>
        <v>Up</v>
      </c>
      <c r="F66" t="str">
        <f t="shared" ref="F66:F97" si="7">IF(E66="Up","▲", IF(E66="Down","▼","●"))</f>
        <v>▲</v>
      </c>
    </row>
    <row r="67" spans="1:6" x14ac:dyDescent="0.25">
      <c r="A67">
        <v>2023</v>
      </c>
      <c r="B67" t="s">
        <v>3</v>
      </c>
      <c r="C67">
        <v>1871</v>
      </c>
      <c r="D67" s="5">
        <f t="shared" si="5"/>
        <v>3.886729594669628E-2</v>
      </c>
      <c r="E67" t="str">
        <f t="shared" si="6"/>
        <v>Up</v>
      </c>
      <c r="F67" t="str">
        <f t="shared" si="7"/>
        <v>▲</v>
      </c>
    </row>
    <row r="68" spans="1:6" x14ac:dyDescent="0.25">
      <c r="A68">
        <v>2023</v>
      </c>
      <c r="B68" t="s">
        <v>4</v>
      </c>
      <c r="C68">
        <v>1798</v>
      </c>
      <c r="D68" s="5">
        <f t="shared" si="5"/>
        <v>-1.665741254858412E-3</v>
      </c>
      <c r="E68" t="str">
        <f t="shared" si="6"/>
        <v>Down</v>
      </c>
      <c r="F68" t="str">
        <f t="shared" si="7"/>
        <v>▼</v>
      </c>
    </row>
    <row r="69" spans="1:6" x14ac:dyDescent="0.25">
      <c r="A69">
        <v>2023</v>
      </c>
      <c r="B69" t="s">
        <v>5</v>
      </c>
      <c r="C69">
        <v>1712</v>
      </c>
      <c r="D69" s="5">
        <f t="shared" si="5"/>
        <v>-4.9416990560799554E-2</v>
      </c>
      <c r="E69" t="str">
        <f t="shared" si="6"/>
        <v>Down</v>
      </c>
      <c r="F69" t="str">
        <f t="shared" si="7"/>
        <v>▼</v>
      </c>
    </row>
    <row r="70" spans="1:6" x14ac:dyDescent="0.25">
      <c r="A70">
        <v>2023</v>
      </c>
      <c r="B70" t="s">
        <v>6</v>
      </c>
      <c r="C70">
        <v>1852</v>
      </c>
      <c r="D70" s="5">
        <f t="shared" si="5"/>
        <v>2.8317601332593003E-2</v>
      </c>
      <c r="E70" t="str">
        <f t="shared" si="6"/>
        <v>Up</v>
      </c>
      <c r="F70" t="str">
        <f t="shared" si="7"/>
        <v>▲</v>
      </c>
    </row>
    <row r="71" spans="1:6" x14ac:dyDescent="0.25">
      <c r="A71">
        <v>2023</v>
      </c>
      <c r="B71" t="s">
        <v>7</v>
      </c>
      <c r="C71">
        <v>1899</v>
      </c>
      <c r="D71" s="5">
        <f t="shared" si="5"/>
        <v>5.4414214325374792E-2</v>
      </c>
      <c r="E71" t="str">
        <f t="shared" si="6"/>
        <v>Up</v>
      </c>
      <c r="F71" t="str">
        <f t="shared" si="7"/>
        <v>▲</v>
      </c>
    </row>
    <row r="72" spans="1:6" x14ac:dyDescent="0.25">
      <c r="A72">
        <v>2024</v>
      </c>
      <c r="B72" t="s">
        <v>3</v>
      </c>
      <c r="C72">
        <v>1941</v>
      </c>
      <c r="D72" s="5">
        <f t="shared" si="5"/>
        <v>3.7413148049171563E-2</v>
      </c>
      <c r="E72" t="str">
        <f t="shared" si="6"/>
        <v>Up</v>
      </c>
      <c r="F72" t="str">
        <f t="shared" si="7"/>
        <v>▲</v>
      </c>
    </row>
    <row r="73" spans="1:6" x14ac:dyDescent="0.25">
      <c r="A73">
        <v>2024</v>
      </c>
      <c r="B73" t="s">
        <v>4</v>
      </c>
      <c r="C73">
        <v>1868</v>
      </c>
      <c r="D73" s="5">
        <f t="shared" si="5"/>
        <v>-1.6034206306787815E-3</v>
      </c>
      <c r="E73" t="str">
        <f t="shared" si="6"/>
        <v>Down</v>
      </c>
      <c r="F73" t="str">
        <f t="shared" si="7"/>
        <v>▼</v>
      </c>
    </row>
    <row r="74" spans="1:6" x14ac:dyDescent="0.25">
      <c r="A74">
        <v>2024</v>
      </c>
      <c r="B74" t="s">
        <v>5</v>
      </c>
      <c r="C74">
        <v>1782</v>
      </c>
      <c r="D74" s="5">
        <f t="shared" si="5"/>
        <v>-4.7568145376803851E-2</v>
      </c>
      <c r="E74" t="str">
        <f t="shared" si="6"/>
        <v>Down</v>
      </c>
      <c r="F74" t="str">
        <f t="shared" si="7"/>
        <v>▼</v>
      </c>
    </row>
    <row r="75" spans="1:6" x14ac:dyDescent="0.25">
      <c r="A75">
        <v>2024</v>
      </c>
      <c r="B75" t="s">
        <v>6</v>
      </c>
      <c r="C75">
        <v>1922</v>
      </c>
      <c r="D75" s="5">
        <f t="shared" si="5"/>
        <v>2.7258150721539285E-2</v>
      </c>
      <c r="E75" t="str">
        <f t="shared" si="6"/>
        <v>Up</v>
      </c>
      <c r="F75" t="str">
        <f t="shared" si="7"/>
        <v>▲</v>
      </c>
    </row>
    <row r="76" spans="1:6" x14ac:dyDescent="0.25">
      <c r="A76">
        <v>2024</v>
      </c>
      <c r="B76" t="s">
        <v>7</v>
      </c>
      <c r="C76">
        <v>1969</v>
      </c>
      <c r="D76" s="5">
        <f t="shared" si="5"/>
        <v>5.2378407268840195E-2</v>
      </c>
      <c r="E76" t="str">
        <f t="shared" si="6"/>
        <v>Up</v>
      </c>
      <c r="F76" t="str">
        <f t="shared" si="7"/>
        <v>▲</v>
      </c>
    </row>
  </sheetData>
  <phoneticPr fontId="21" type="noConversion"/>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CF2A4-2943-4289-AC5A-58E1B067E6F0}">
  <dimension ref="A3:G49"/>
  <sheetViews>
    <sheetView topLeftCell="A34" workbookViewId="0">
      <selection activeCell="A34" sqref="A1:XFD1048576"/>
    </sheetView>
  </sheetViews>
  <sheetFormatPr defaultRowHeight="15" x14ac:dyDescent="0.25"/>
  <cols>
    <col min="1" max="1" width="38.28515625" bestFit="1" customWidth="1"/>
    <col min="2" max="2" width="16.28515625" bestFit="1" customWidth="1"/>
    <col min="3" max="3" width="7.28515625" bestFit="1" customWidth="1"/>
    <col min="4" max="4" width="13.140625" bestFit="1" customWidth="1"/>
    <col min="5" max="5" width="19.28515625" bestFit="1" customWidth="1"/>
    <col min="6" max="6" width="14" bestFit="1" customWidth="1"/>
    <col min="7" max="7" width="11.28515625" bestFit="1" customWidth="1"/>
  </cols>
  <sheetData>
    <row r="3" spans="1:2" x14ac:dyDescent="0.25">
      <c r="A3" s="1" t="s">
        <v>8</v>
      </c>
      <c r="B3" t="s">
        <v>10</v>
      </c>
    </row>
    <row r="4" spans="1:2" x14ac:dyDescent="0.25">
      <c r="A4" s="2">
        <v>2010</v>
      </c>
      <c r="B4" s="3">
        <v>5582</v>
      </c>
    </row>
    <row r="5" spans="1:2" x14ac:dyDescent="0.25">
      <c r="A5" s="2">
        <v>2011</v>
      </c>
      <c r="B5" s="3">
        <v>5932</v>
      </c>
    </row>
    <row r="6" spans="1:2" x14ac:dyDescent="0.25">
      <c r="A6" s="2">
        <v>2012</v>
      </c>
      <c r="B6" s="3">
        <v>6282</v>
      </c>
    </row>
    <row r="7" spans="1:2" x14ac:dyDescent="0.25">
      <c r="A7" s="2">
        <v>2013</v>
      </c>
      <c r="B7" s="3">
        <v>6632</v>
      </c>
    </row>
    <row r="8" spans="1:2" x14ac:dyDescent="0.25">
      <c r="A8" s="2">
        <v>2014</v>
      </c>
      <c r="B8" s="3">
        <v>6982</v>
      </c>
    </row>
    <row r="9" spans="1:2" x14ac:dyDescent="0.25">
      <c r="A9" s="2">
        <v>2015</v>
      </c>
      <c r="B9" s="3">
        <v>6832</v>
      </c>
    </row>
    <row r="10" spans="1:2" x14ac:dyDescent="0.25">
      <c r="A10" s="2">
        <v>2016</v>
      </c>
      <c r="B10" s="3">
        <v>7182</v>
      </c>
    </row>
    <row r="11" spans="1:2" x14ac:dyDescent="0.25">
      <c r="A11" s="2">
        <v>2017</v>
      </c>
      <c r="B11" s="3">
        <v>7532</v>
      </c>
    </row>
    <row r="12" spans="1:2" x14ac:dyDescent="0.25">
      <c r="A12" s="2">
        <v>2018</v>
      </c>
      <c r="B12" s="3">
        <v>7882</v>
      </c>
    </row>
    <row r="13" spans="1:2" x14ac:dyDescent="0.25">
      <c r="A13" s="2">
        <v>2019</v>
      </c>
      <c r="B13" s="3">
        <v>8232</v>
      </c>
    </row>
    <row r="14" spans="1:2" x14ac:dyDescent="0.25">
      <c r="A14" s="2">
        <v>2020</v>
      </c>
      <c r="B14" s="3">
        <v>8082</v>
      </c>
    </row>
    <row r="15" spans="1:2" x14ac:dyDescent="0.25">
      <c r="A15" s="2">
        <v>2021</v>
      </c>
      <c r="B15" s="3">
        <v>8432</v>
      </c>
    </row>
    <row r="16" spans="1:2" x14ac:dyDescent="0.25">
      <c r="A16" s="2">
        <v>2022</v>
      </c>
      <c r="B16" s="3">
        <v>8782</v>
      </c>
    </row>
    <row r="17" spans="1:2" x14ac:dyDescent="0.25">
      <c r="A17" s="2">
        <v>2023</v>
      </c>
      <c r="B17" s="3">
        <v>9132</v>
      </c>
    </row>
    <row r="18" spans="1:2" x14ac:dyDescent="0.25">
      <c r="A18" s="2">
        <v>2024</v>
      </c>
      <c r="B18" s="3">
        <v>9482</v>
      </c>
    </row>
    <row r="23" spans="1:2" x14ac:dyDescent="0.25">
      <c r="A23" s="1" t="s">
        <v>8</v>
      </c>
      <c r="B23" t="s">
        <v>10</v>
      </c>
    </row>
    <row r="24" spans="1:2" x14ac:dyDescent="0.25">
      <c r="A24" s="2" t="s">
        <v>5</v>
      </c>
      <c r="B24" s="3">
        <v>20880</v>
      </c>
    </row>
    <row r="25" spans="1:2" x14ac:dyDescent="0.25">
      <c r="A25" s="2" t="s">
        <v>4</v>
      </c>
      <c r="B25" s="3">
        <v>22170</v>
      </c>
    </row>
    <row r="26" spans="1:2" x14ac:dyDescent="0.25">
      <c r="A26" s="2" t="s">
        <v>6</v>
      </c>
      <c r="B26" s="3">
        <v>22980</v>
      </c>
    </row>
    <row r="27" spans="1:2" x14ac:dyDescent="0.25">
      <c r="A27" s="2" t="s">
        <v>7</v>
      </c>
      <c r="B27" s="3">
        <v>23685</v>
      </c>
    </row>
    <row r="28" spans="1:2" x14ac:dyDescent="0.25">
      <c r="A28" s="2" t="s">
        <v>3</v>
      </c>
      <c r="B28" s="3">
        <v>23265</v>
      </c>
    </row>
    <row r="33" spans="1:7" x14ac:dyDescent="0.25">
      <c r="A33" s="1" t="s">
        <v>10</v>
      </c>
      <c r="B33" s="1" t="s">
        <v>11</v>
      </c>
    </row>
    <row r="34" spans="1:7" x14ac:dyDescent="0.25">
      <c r="A34" s="1" t="s">
        <v>8</v>
      </c>
      <c r="B34" t="s">
        <v>5</v>
      </c>
      <c r="C34" t="s">
        <v>4</v>
      </c>
      <c r="D34" t="s">
        <v>6</v>
      </c>
      <c r="E34" t="s">
        <v>7</v>
      </c>
      <c r="F34" t="s">
        <v>3</v>
      </c>
      <c r="G34" t="s">
        <v>9</v>
      </c>
    </row>
    <row r="35" spans="1:7" x14ac:dyDescent="0.25">
      <c r="A35" s="2">
        <v>2010</v>
      </c>
      <c r="B35" s="3">
        <v>1002</v>
      </c>
      <c r="C35" s="3">
        <v>1088</v>
      </c>
      <c r="D35" s="3">
        <v>1142</v>
      </c>
      <c r="E35" s="3">
        <v>1189</v>
      </c>
      <c r="F35" s="3">
        <v>1161</v>
      </c>
      <c r="G35" s="3">
        <v>5582</v>
      </c>
    </row>
    <row r="36" spans="1:7" x14ac:dyDescent="0.25">
      <c r="A36" s="2">
        <v>2011</v>
      </c>
      <c r="B36" s="3">
        <v>1072</v>
      </c>
      <c r="C36" s="3">
        <v>1158</v>
      </c>
      <c r="D36" s="3">
        <v>1212</v>
      </c>
      <c r="E36" s="3">
        <v>1259</v>
      </c>
      <c r="F36" s="3">
        <v>1231</v>
      </c>
      <c r="G36" s="3">
        <v>5932</v>
      </c>
    </row>
    <row r="37" spans="1:7" x14ac:dyDescent="0.25">
      <c r="A37" s="2">
        <v>2012</v>
      </c>
      <c r="B37" s="3">
        <v>1142</v>
      </c>
      <c r="C37" s="3">
        <v>1228</v>
      </c>
      <c r="D37" s="3">
        <v>1282</v>
      </c>
      <c r="E37" s="3">
        <v>1329</v>
      </c>
      <c r="F37" s="3">
        <v>1301</v>
      </c>
      <c r="G37" s="3">
        <v>6282</v>
      </c>
    </row>
    <row r="38" spans="1:7" x14ac:dyDescent="0.25">
      <c r="A38" s="2">
        <v>2013</v>
      </c>
      <c r="B38" s="3">
        <v>1212</v>
      </c>
      <c r="C38" s="3">
        <v>1298</v>
      </c>
      <c r="D38" s="3">
        <v>1352</v>
      </c>
      <c r="E38" s="3">
        <v>1399</v>
      </c>
      <c r="F38" s="3">
        <v>1371</v>
      </c>
      <c r="G38" s="3">
        <v>6632</v>
      </c>
    </row>
    <row r="39" spans="1:7" x14ac:dyDescent="0.25">
      <c r="A39" s="2">
        <v>2014</v>
      </c>
      <c r="B39" s="3">
        <v>1282</v>
      </c>
      <c r="C39" s="3">
        <v>1368</v>
      </c>
      <c r="D39" s="3">
        <v>1422</v>
      </c>
      <c r="E39" s="3">
        <v>1469</v>
      </c>
      <c r="F39" s="3">
        <v>1441</v>
      </c>
      <c r="G39" s="3">
        <v>6982</v>
      </c>
    </row>
    <row r="40" spans="1:7" x14ac:dyDescent="0.25">
      <c r="A40" s="2">
        <v>2015</v>
      </c>
      <c r="B40" s="3">
        <v>1252</v>
      </c>
      <c r="C40" s="3">
        <v>1338</v>
      </c>
      <c r="D40" s="3">
        <v>1392</v>
      </c>
      <c r="E40" s="3">
        <v>1439</v>
      </c>
      <c r="F40" s="3">
        <v>1411</v>
      </c>
      <c r="G40" s="3">
        <v>6832</v>
      </c>
    </row>
    <row r="41" spans="1:7" x14ac:dyDescent="0.25">
      <c r="A41" s="2">
        <v>2016</v>
      </c>
      <c r="B41" s="3">
        <v>1322</v>
      </c>
      <c r="C41" s="3">
        <v>1408</v>
      </c>
      <c r="D41" s="3">
        <v>1462</v>
      </c>
      <c r="E41" s="3">
        <v>1509</v>
      </c>
      <c r="F41" s="3">
        <v>1481</v>
      </c>
      <c r="G41" s="3">
        <v>7182</v>
      </c>
    </row>
    <row r="42" spans="1:7" x14ac:dyDescent="0.25">
      <c r="A42" s="2">
        <v>2017</v>
      </c>
      <c r="B42" s="3">
        <v>1392</v>
      </c>
      <c r="C42" s="3">
        <v>1478</v>
      </c>
      <c r="D42" s="3">
        <v>1532</v>
      </c>
      <c r="E42" s="3">
        <v>1579</v>
      </c>
      <c r="F42" s="3">
        <v>1551</v>
      </c>
      <c r="G42" s="3">
        <v>7532</v>
      </c>
    </row>
    <row r="43" spans="1:7" x14ac:dyDescent="0.25">
      <c r="A43" s="2">
        <v>2018</v>
      </c>
      <c r="B43" s="3">
        <v>1462</v>
      </c>
      <c r="C43" s="3">
        <v>1548</v>
      </c>
      <c r="D43" s="3">
        <v>1602</v>
      </c>
      <c r="E43" s="3">
        <v>1649</v>
      </c>
      <c r="F43" s="3">
        <v>1621</v>
      </c>
      <c r="G43" s="3">
        <v>7882</v>
      </c>
    </row>
    <row r="44" spans="1:7" x14ac:dyDescent="0.25">
      <c r="A44" s="2">
        <v>2019</v>
      </c>
      <c r="B44" s="3">
        <v>1532</v>
      </c>
      <c r="C44" s="3">
        <v>1618</v>
      </c>
      <c r="D44" s="3">
        <v>1672</v>
      </c>
      <c r="E44" s="3">
        <v>1719</v>
      </c>
      <c r="F44" s="3">
        <v>1691</v>
      </c>
      <c r="G44" s="3">
        <v>8232</v>
      </c>
    </row>
    <row r="45" spans="1:7" x14ac:dyDescent="0.25">
      <c r="A45" s="2">
        <v>2020</v>
      </c>
      <c r="B45" s="3">
        <v>1502</v>
      </c>
      <c r="C45" s="3">
        <v>1588</v>
      </c>
      <c r="D45" s="3">
        <v>1642</v>
      </c>
      <c r="E45" s="3">
        <v>1689</v>
      </c>
      <c r="F45" s="3">
        <v>1661</v>
      </c>
      <c r="G45" s="3">
        <v>8082</v>
      </c>
    </row>
    <row r="46" spans="1:7" x14ac:dyDescent="0.25">
      <c r="A46" s="2">
        <v>2021</v>
      </c>
      <c r="B46" s="3">
        <v>1572</v>
      </c>
      <c r="C46" s="3">
        <v>1658</v>
      </c>
      <c r="D46" s="3">
        <v>1712</v>
      </c>
      <c r="E46" s="3">
        <v>1759</v>
      </c>
      <c r="F46" s="3">
        <v>1731</v>
      </c>
      <c r="G46" s="3">
        <v>8432</v>
      </c>
    </row>
    <row r="47" spans="1:7" x14ac:dyDescent="0.25">
      <c r="A47" s="2">
        <v>2022</v>
      </c>
      <c r="B47" s="3">
        <v>1642</v>
      </c>
      <c r="C47" s="3">
        <v>1728</v>
      </c>
      <c r="D47" s="3">
        <v>1782</v>
      </c>
      <c r="E47" s="3">
        <v>1829</v>
      </c>
      <c r="F47" s="3">
        <v>1801</v>
      </c>
      <c r="G47" s="3">
        <v>8782</v>
      </c>
    </row>
    <row r="48" spans="1:7" x14ac:dyDescent="0.25">
      <c r="A48" s="2">
        <v>2023</v>
      </c>
      <c r="B48" s="3">
        <v>1712</v>
      </c>
      <c r="C48" s="3">
        <v>1798</v>
      </c>
      <c r="D48" s="3">
        <v>1852</v>
      </c>
      <c r="E48" s="3">
        <v>1899</v>
      </c>
      <c r="F48" s="3">
        <v>1871</v>
      </c>
      <c r="G48" s="3">
        <v>9132</v>
      </c>
    </row>
    <row r="49" spans="1:7" x14ac:dyDescent="0.25">
      <c r="A49" s="2">
        <v>2024</v>
      </c>
      <c r="B49" s="3">
        <v>1782</v>
      </c>
      <c r="C49" s="3">
        <v>1868</v>
      </c>
      <c r="D49" s="3">
        <v>1922</v>
      </c>
      <c r="E49" s="3">
        <v>1969</v>
      </c>
      <c r="F49" s="3">
        <v>1941</v>
      </c>
      <c r="G49" s="3">
        <v>9482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65D60-C8E9-49E6-8151-00B44248ABCD}">
  <dimension ref="A3:G49"/>
  <sheetViews>
    <sheetView workbookViewId="0">
      <selection activeCell="E20" sqref="E20"/>
    </sheetView>
  </sheetViews>
  <sheetFormatPr defaultRowHeight="15" x14ac:dyDescent="0.25"/>
  <cols>
    <col min="1" max="1" width="13.140625" bestFit="1" customWidth="1"/>
    <col min="2" max="2" width="38.28515625" bestFit="1" customWidth="1"/>
    <col min="3" max="3" width="7.28515625" bestFit="1" customWidth="1"/>
    <col min="4" max="4" width="13.140625" bestFit="1" customWidth="1"/>
    <col min="5" max="5" width="19.28515625" bestFit="1" customWidth="1"/>
    <col min="6" max="6" width="14" bestFit="1" customWidth="1"/>
    <col min="7" max="7" width="11.28515625" bestFit="1" customWidth="1"/>
  </cols>
  <sheetData>
    <row r="3" spans="1:4" x14ac:dyDescent="0.25">
      <c r="A3" s="1" t="s">
        <v>8</v>
      </c>
      <c r="B3" t="s">
        <v>10</v>
      </c>
    </row>
    <row r="4" spans="1:4" x14ac:dyDescent="0.25">
      <c r="A4" s="2">
        <v>2010</v>
      </c>
      <c r="B4" s="5"/>
    </row>
    <row r="5" spans="1:4" x14ac:dyDescent="0.25">
      <c r="A5" s="2">
        <v>2011</v>
      </c>
      <c r="B5" s="5">
        <v>6.2701540666427802E-2</v>
      </c>
    </row>
    <row r="6" spans="1:4" x14ac:dyDescent="0.25">
      <c r="A6" s="2">
        <v>2012</v>
      </c>
      <c r="B6" s="5">
        <v>5.9002022926500336E-2</v>
      </c>
    </row>
    <row r="7" spans="1:4" x14ac:dyDescent="0.25">
      <c r="A7" s="2">
        <v>2013</v>
      </c>
      <c r="B7" s="5">
        <v>5.5714740528494108E-2</v>
      </c>
    </row>
    <row r="8" spans="1:4" x14ac:dyDescent="0.25">
      <c r="A8" s="2">
        <v>2014</v>
      </c>
      <c r="B8" s="5">
        <v>5.2774427020506637E-2</v>
      </c>
    </row>
    <row r="9" spans="1:4" x14ac:dyDescent="0.25">
      <c r="A9" s="2">
        <v>2015</v>
      </c>
      <c r="B9" s="5">
        <v>-2.1483815525637353E-2</v>
      </c>
    </row>
    <row r="10" spans="1:4" x14ac:dyDescent="0.25">
      <c r="A10" s="2">
        <v>2016</v>
      </c>
      <c r="B10" s="5">
        <v>5.1229508196721313E-2</v>
      </c>
    </row>
    <row r="11" spans="1:4" x14ac:dyDescent="0.25">
      <c r="A11" s="2">
        <v>2017</v>
      </c>
      <c r="B11" s="5">
        <v>4.8732943469785572E-2</v>
      </c>
    </row>
    <row r="12" spans="1:4" x14ac:dyDescent="0.25">
      <c r="A12" s="2">
        <v>2018</v>
      </c>
      <c r="B12" s="5">
        <v>4.6468401486988845E-2</v>
      </c>
    </row>
    <row r="13" spans="1:4" x14ac:dyDescent="0.25">
      <c r="A13" s="2">
        <v>2019</v>
      </c>
      <c r="B13" s="5">
        <v>4.4404973357015987E-2</v>
      </c>
    </row>
    <row r="14" spans="1:4" x14ac:dyDescent="0.25">
      <c r="A14" s="2">
        <v>2020</v>
      </c>
      <c r="B14" s="5">
        <v>-1.8221574344023325E-2</v>
      </c>
    </row>
    <row r="15" spans="1:4" x14ac:dyDescent="0.25">
      <c r="A15" s="2">
        <v>2021</v>
      </c>
      <c r="B15" s="5">
        <v>4.3306112348428606E-2</v>
      </c>
    </row>
    <row r="16" spans="1:4" x14ac:dyDescent="0.25">
      <c r="A16" s="2">
        <v>2022</v>
      </c>
      <c r="B16" s="5">
        <v>4.1508538899430743E-2</v>
      </c>
    </row>
    <row r="17" spans="1:2" x14ac:dyDescent="0.25">
      <c r="A17" s="2">
        <v>2023</v>
      </c>
      <c r="B17" s="5">
        <v>3.9854247324071966E-2</v>
      </c>
    </row>
    <row r="18" spans="1:2" x14ac:dyDescent="0.25">
      <c r="A18" s="2">
        <v>2024</v>
      </c>
      <c r="B18" s="5">
        <v>3.8326763031099428E-2</v>
      </c>
    </row>
    <row r="23" spans="1:2" x14ac:dyDescent="0.25">
      <c r="A23" s="1" t="s">
        <v>8</v>
      </c>
      <c r="B23" t="s">
        <v>10</v>
      </c>
    </row>
    <row r="24" spans="1:2" x14ac:dyDescent="0.25">
      <c r="A24" s="2" t="s">
        <v>5</v>
      </c>
      <c r="B24" s="3">
        <v>20880</v>
      </c>
    </row>
    <row r="25" spans="1:2" x14ac:dyDescent="0.25">
      <c r="A25" s="2" t="s">
        <v>4</v>
      </c>
      <c r="B25" s="3">
        <v>22170</v>
      </c>
    </row>
    <row r="26" spans="1:2" x14ac:dyDescent="0.25">
      <c r="A26" s="2" t="s">
        <v>6</v>
      </c>
      <c r="B26" s="3">
        <v>22980</v>
      </c>
    </row>
    <row r="27" spans="1:2" x14ac:dyDescent="0.25">
      <c r="A27" s="2" t="s">
        <v>7</v>
      </c>
      <c r="B27" s="3">
        <v>23685</v>
      </c>
    </row>
    <row r="28" spans="1:2" x14ac:dyDescent="0.25">
      <c r="A28" s="2" t="s">
        <v>3</v>
      </c>
      <c r="B28" s="3">
        <v>23265</v>
      </c>
    </row>
    <row r="33" spans="1:7" x14ac:dyDescent="0.25">
      <c r="A33" s="1" t="s">
        <v>10</v>
      </c>
      <c r="B33" s="1" t="s">
        <v>11</v>
      </c>
    </row>
    <row r="34" spans="1:7" x14ac:dyDescent="0.25">
      <c r="A34" s="1" t="s">
        <v>8</v>
      </c>
      <c r="B34" t="s">
        <v>5</v>
      </c>
      <c r="C34" t="s">
        <v>4</v>
      </c>
      <c r="D34" t="s">
        <v>6</v>
      </c>
      <c r="E34" t="s">
        <v>7</v>
      </c>
      <c r="F34" t="s">
        <v>3</v>
      </c>
      <c r="G34" t="s">
        <v>9</v>
      </c>
    </row>
    <row r="35" spans="1:7" x14ac:dyDescent="0.25">
      <c r="A35" s="2">
        <v>2010</v>
      </c>
      <c r="B35" s="3">
        <v>1002</v>
      </c>
      <c r="C35" s="3">
        <v>1088</v>
      </c>
      <c r="D35" s="3">
        <v>1142</v>
      </c>
      <c r="E35" s="3">
        <v>1189</v>
      </c>
      <c r="F35" s="3">
        <v>1161</v>
      </c>
      <c r="G35" s="3">
        <v>5582</v>
      </c>
    </row>
    <row r="36" spans="1:7" x14ac:dyDescent="0.25">
      <c r="A36" s="2">
        <v>2011</v>
      </c>
      <c r="B36" s="3">
        <v>1072</v>
      </c>
      <c r="C36" s="3">
        <v>1158</v>
      </c>
      <c r="D36" s="3">
        <v>1212</v>
      </c>
      <c r="E36" s="3">
        <v>1259</v>
      </c>
      <c r="F36" s="3">
        <v>1231</v>
      </c>
      <c r="G36" s="3">
        <v>5932</v>
      </c>
    </row>
    <row r="37" spans="1:7" x14ac:dyDescent="0.25">
      <c r="A37" s="2">
        <v>2012</v>
      </c>
      <c r="B37" s="3">
        <v>1142</v>
      </c>
      <c r="C37" s="3">
        <v>1228</v>
      </c>
      <c r="D37" s="3">
        <v>1282</v>
      </c>
      <c r="E37" s="3">
        <v>1329</v>
      </c>
      <c r="F37" s="3">
        <v>1301</v>
      </c>
      <c r="G37" s="3">
        <v>6282</v>
      </c>
    </row>
    <row r="38" spans="1:7" x14ac:dyDescent="0.25">
      <c r="A38" s="2">
        <v>2013</v>
      </c>
      <c r="B38" s="3">
        <v>1212</v>
      </c>
      <c r="C38" s="3">
        <v>1298</v>
      </c>
      <c r="D38" s="3">
        <v>1352</v>
      </c>
      <c r="E38" s="3">
        <v>1399</v>
      </c>
      <c r="F38" s="3">
        <v>1371</v>
      </c>
      <c r="G38" s="3">
        <v>6632</v>
      </c>
    </row>
    <row r="39" spans="1:7" x14ac:dyDescent="0.25">
      <c r="A39" s="2">
        <v>2014</v>
      </c>
      <c r="B39" s="3">
        <v>1282</v>
      </c>
      <c r="C39" s="3">
        <v>1368</v>
      </c>
      <c r="D39" s="3">
        <v>1422</v>
      </c>
      <c r="E39" s="3">
        <v>1469</v>
      </c>
      <c r="F39" s="3">
        <v>1441</v>
      </c>
      <c r="G39" s="3">
        <v>6982</v>
      </c>
    </row>
    <row r="40" spans="1:7" x14ac:dyDescent="0.25">
      <c r="A40" s="2">
        <v>2015</v>
      </c>
      <c r="B40" s="3">
        <v>1252</v>
      </c>
      <c r="C40" s="3">
        <v>1338</v>
      </c>
      <c r="D40" s="3">
        <v>1392</v>
      </c>
      <c r="E40" s="3">
        <v>1439</v>
      </c>
      <c r="F40" s="3">
        <v>1411</v>
      </c>
      <c r="G40" s="3">
        <v>6832</v>
      </c>
    </row>
    <row r="41" spans="1:7" x14ac:dyDescent="0.25">
      <c r="A41" s="2">
        <v>2016</v>
      </c>
      <c r="B41" s="3">
        <v>1322</v>
      </c>
      <c r="C41" s="3">
        <v>1408</v>
      </c>
      <c r="D41" s="3">
        <v>1462</v>
      </c>
      <c r="E41" s="3">
        <v>1509</v>
      </c>
      <c r="F41" s="3">
        <v>1481</v>
      </c>
      <c r="G41" s="3">
        <v>7182</v>
      </c>
    </row>
    <row r="42" spans="1:7" x14ac:dyDescent="0.25">
      <c r="A42" s="2">
        <v>2017</v>
      </c>
      <c r="B42" s="3">
        <v>1392</v>
      </c>
      <c r="C42" s="3">
        <v>1478</v>
      </c>
      <c r="D42" s="3">
        <v>1532</v>
      </c>
      <c r="E42" s="3">
        <v>1579</v>
      </c>
      <c r="F42" s="3">
        <v>1551</v>
      </c>
      <c r="G42" s="3">
        <v>7532</v>
      </c>
    </row>
    <row r="43" spans="1:7" x14ac:dyDescent="0.25">
      <c r="A43" s="2">
        <v>2018</v>
      </c>
      <c r="B43" s="3">
        <v>1462</v>
      </c>
      <c r="C43" s="3">
        <v>1548</v>
      </c>
      <c r="D43" s="3">
        <v>1602</v>
      </c>
      <c r="E43" s="3">
        <v>1649</v>
      </c>
      <c r="F43" s="3">
        <v>1621</v>
      </c>
      <c r="G43" s="3">
        <v>7882</v>
      </c>
    </row>
    <row r="44" spans="1:7" x14ac:dyDescent="0.25">
      <c r="A44" s="2">
        <v>2019</v>
      </c>
      <c r="B44" s="3">
        <v>1532</v>
      </c>
      <c r="C44" s="3">
        <v>1618</v>
      </c>
      <c r="D44" s="3">
        <v>1672</v>
      </c>
      <c r="E44" s="3">
        <v>1719</v>
      </c>
      <c r="F44" s="3">
        <v>1691</v>
      </c>
      <c r="G44" s="3">
        <v>8232</v>
      </c>
    </row>
    <row r="45" spans="1:7" x14ac:dyDescent="0.25">
      <c r="A45" s="2">
        <v>2020</v>
      </c>
      <c r="B45" s="3">
        <v>1502</v>
      </c>
      <c r="C45" s="3">
        <v>1588</v>
      </c>
      <c r="D45" s="3">
        <v>1642</v>
      </c>
      <c r="E45" s="3">
        <v>1689</v>
      </c>
      <c r="F45" s="3">
        <v>1661</v>
      </c>
      <c r="G45" s="3">
        <v>8082</v>
      </c>
    </row>
    <row r="46" spans="1:7" x14ac:dyDescent="0.25">
      <c r="A46" s="2">
        <v>2021</v>
      </c>
      <c r="B46" s="3">
        <v>1572</v>
      </c>
      <c r="C46" s="3">
        <v>1658</v>
      </c>
      <c r="D46" s="3">
        <v>1712</v>
      </c>
      <c r="E46" s="3">
        <v>1759</v>
      </c>
      <c r="F46" s="3">
        <v>1731</v>
      </c>
      <c r="G46" s="3">
        <v>8432</v>
      </c>
    </row>
    <row r="47" spans="1:7" x14ac:dyDescent="0.25">
      <c r="A47" s="2">
        <v>2022</v>
      </c>
      <c r="B47" s="3">
        <v>1642</v>
      </c>
      <c r="C47" s="3">
        <v>1728</v>
      </c>
      <c r="D47" s="3">
        <v>1782</v>
      </c>
      <c r="E47" s="3">
        <v>1829</v>
      </c>
      <c r="F47" s="3">
        <v>1801</v>
      </c>
      <c r="G47" s="3">
        <v>8782</v>
      </c>
    </row>
    <row r="48" spans="1:7" x14ac:dyDescent="0.25">
      <c r="A48" s="2">
        <v>2023</v>
      </c>
      <c r="B48" s="3">
        <v>1712</v>
      </c>
      <c r="C48" s="3">
        <v>1798</v>
      </c>
      <c r="D48" s="3">
        <v>1852</v>
      </c>
      <c r="E48" s="3">
        <v>1899</v>
      </c>
      <c r="F48" s="3">
        <v>1871</v>
      </c>
      <c r="G48" s="3">
        <v>9132</v>
      </c>
    </row>
    <row r="49" spans="1:7" x14ac:dyDescent="0.25">
      <c r="A49" s="2">
        <v>2024</v>
      </c>
      <c r="B49" s="3">
        <v>1782</v>
      </c>
      <c r="C49" s="3">
        <v>1868</v>
      </c>
      <c r="D49" s="3">
        <v>1922</v>
      </c>
      <c r="E49" s="3">
        <v>1969</v>
      </c>
      <c r="F49" s="3">
        <v>1941</v>
      </c>
      <c r="G49" s="3">
        <v>9482</v>
      </c>
    </row>
  </sheetData>
  <pageMargins left="0.7" right="0.7" top="0.75" bottom="0.75" header="0.3" footer="0.3"/>
  <legacy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4B6FD-DCD8-46DE-A34B-49F231309E6F}">
  <dimension ref="A1:L73"/>
  <sheetViews>
    <sheetView tabSelected="1" topLeftCell="A23" zoomScaleNormal="100" workbookViewId="0">
      <selection activeCell="E49" sqref="E49"/>
    </sheetView>
  </sheetViews>
  <sheetFormatPr defaultRowHeight="15" x14ac:dyDescent="0.25"/>
  <cols>
    <col min="2" max="2" width="24" bestFit="1" customWidth="1"/>
    <col min="3" max="3" width="20.28515625" customWidth="1"/>
  </cols>
  <sheetData>
    <row r="1" spans="1:12" x14ac:dyDescent="0.25">
      <c r="A1" s="6" t="s">
        <v>12</v>
      </c>
      <c r="B1" s="6"/>
      <c r="C1" s="6"/>
      <c r="D1" s="6"/>
      <c r="E1" s="6"/>
      <c r="F1" s="6"/>
      <c r="G1" s="6"/>
      <c r="H1" s="6"/>
      <c r="I1" s="6"/>
      <c r="J1" s="6"/>
      <c r="K1" s="6"/>
      <c r="L1" s="11"/>
    </row>
    <row r="2" spans="1:12" x14ac:dyDescent="0.25">
      <c r="A2" s="6"/>
      <c r="B2" s="6"/>
      <c r="C2" s="6"/>
      <c r="D2" s="6"/>
      <c r="E2" s="6"/>
      <c r="F2" s="6"/>
      <c r="G2" s="6"/>
      <c r="H2" s="6"/>
      <c r="I2" s="6"/>
      <c r="J2" s="6"/>
      <c r="K2" s="6"/>
      <c r="L2" s="11"/>
    </row>
    <row r="3" spans="1:12" x14ac:dyDescent="0.25">
      <c r="A3" s="6"/>
      <c r="B3" s="6"/>
      <c r="C3" s="6"/>
      <c r="D3" s="6"/>
      <c r="E3" s="6"/>
      <c r="F3" s="6"/>
      <c r="G3" s="6"/>
      <c r="H3" s="6"/>
      <c r="I3" s="6"/>
      <c r="J3" s="6"/>
      <c r="K3" s="6"/>
      <c r="L3" s="11"/>
    </row>
    <row r="4" spans="1:12" x14ac:dyDescent="0.25">
      <c r="A4" s="7"/>
      <c r="B4" s="7"/>
      <c r="C4" s="7"/>
      <c r="D4" s="7"/>
      <c r="E4" s="7"/>
      <c r="F4" s="7"/>
      <c r="G4" s="7"/>
      <c r="H4" s="7"/>
      <c r="I4" s="7"/>
      <c r="J4" s="7"/>
      <c r="K4" s="7"/>
      <c r="L4" s="7"/>
    </row>
    <row r="5" spans="1:12" x14ac:dyDescent="0.25">
      <c r="A5" s="7"/>
      <c r="B5" s="8" t="s">
        <v>13</v>
      </c>
      <c r="C5" s="7"/>
      <c r="D5" s="7"/>
      <c r="E5" s="7"/>
      <c r="F5" s="7"/>
      <c r="G5" s="9" t="s">
        <v>19</v>
      </c>
      <c r="H5" s="9"/>
      <c r="I5" s="9"/>
      <c r="J5" s="9"/>
      <c r="K5" s="7"/>
      <c r="L5" s="7"/>
    </row>
    <row r="6" spans="1:12" x14ac:dyDescent="0.25">
      <c r="A6" s="7"/>
      <c r="B6" s="7" t="s">
        <v>14</v>
      </c>
      <c r="C6" s="7">
        <f>SUM(Table1[Consumer_Spending_Billion_USD])</f>
        <v>112980</v>
      </c>
      <c r="D6" s="7"/>
      <c r="E6" s="7"/>
      <c r="F6" s="7"/>
      <c r="G6" s="7"/>
      <c r="H6" s="7"/>
      <c r="I6" s="7"/>
      <c r="J6" s="7"/>
      <c r="K6" s="7"/>
      <c r="L6" s="7"/>
    </row>
    <row r="7" spans="1:12" x14ac:dyDescent="0.25">
      <c r="A7" s="7"/>
      <c r="B7" s="8"/>
      <c r="C7" s="7"/>
      <c r="D7" s="7"/>
      <c r="E7" s="7"/>
      <c r="F7" s="7"/>
      <c r="G7" s="7"/>
      <c r="H7" s="7"/>
      <c r="I7" s="7"/>
      <c r="J7" s="7"/>
      <c r="K7" s="7"/>
      <c r="L7" s="7"/>
    </row>
    <row r="8" spans="1:12" x14ac:dyDescent="0.25">
      <c r="A8" s="7"/>
      <c r="B8" s="8"/>
      <c r="C8" s="7"/>
      <c r="D8" s="7"/>
      <c r="E8" s="7"/>
      <c r="F8" s="7"/>
      <c r="G8" s="7"/>
      <c r="H8" s="7"/>
      <c r="I8" s="7"/>
      <c r="J8" s="7"/>
      <c r="K8" s="7"/>
      <c r="L8" s="7"/>
    </row>
    <row r="9" spans="1:12" x14ac:dyDescent="0.25">
      <c r="A9" s="7"/>
      <c r="B9" s="7" t="s">
        <v>18</v>
      </c>
      <c r="C9" s="7"/>
      <c r="D9" s="7"/>
      <c r="E9" s="7"/>
      <c r="F9" s="7"/>
      <c r="G9" s="7"/>
      <c r="H9" s="7"/>
      <c r="I9" s="7"/>
      <c r="J9" s="7"/>
      <c r="K9" s="7"/>
      <c r="L9" s="7"/>
    </row>
    <row r="10" spans="1:12" x14ac:dyDescent="0.25">
      <c r="A10" s="7"/>
      <c r="B10" s="7" t="str">
        <f>INDEX(Summary!A:A, MATCH(MAX(Summary!B:B), Summary!B:B, 0))</f>
        <v>Middle East &amp; Africa</v>
      </c>
      <c r="C10" s="7">
        <f>MAX(Summary!B:B)</f>
        <v>23685</v>
      </c>
      <c r="D10" s="7"/>
      <c r="E10" s="7"/>
      <c r="F10" s="7"/>
      <c r="G10" s="7"/>
      <c r="H10" s="7"/>
      <c r="I10" s="7"/>
      <c r="J10" s="7"/>
      <c r="K10" s="7"/>
      <c r="L10" s="7"/>
    </row>
    <row r="11" spans="1:12" x14ac:dyDescent="0.25">
      <c r="A11" s="7"/>
      <c r="B11" s="8"/>
      <c r="C11" s="7"/>
      <c r="D11" s="7"/>
      <c r="E11" s="7"/>
      <c r="F11" s="7"/>
      <c r="G11" s="7"/>
      <c r="H11" s="7"/>
      <c r="I11" s="7"/>
      <c r="J11" s="7"/>
      <c r="K11" s="7"/>
      <c r="L11" s="7"/>
    </row>
    <row r="12" spans="1:12" x14ac:dyDescent="0.25">
      <c r="A12" s="7"/>
      <c r="B12" s="10"/>
      <c r="C12" s="7"/>
      <c r="D12" s="7"/>
      <c r="E12" s="7"/>
      <c r="F12" s="7"/>
      <c r="G12" s="7"/>
      <c r="H12" s="7"/>
      <c r="I12" s="7"/>
      <c r="J12" s="7"/>
      <c r="K12" s="7"/>
      <c r="L12" s="7"/>
    </row>
    <row r="13" spans="1:12" x14ac:dyDescent="0.25">
      <c r="A13" s="7"/>
      <c r="B13" s="8"/>
      <c r="C13" s="7"/>
      <c r="D13" s="7"/>
      <c r="E13" s="7"/>
      <c r="F13" s="7"/>
      <c r="G13" s="7"/>
      <c r="H13" s="7"/>
      <c r="I13" s="7"/>
      <c r="J13" s="7"/>
      <c r="K13" s="7"/>
      <c r="L13" s="7"/>
    </row>
    <row r="14" spans="1:12" x14ac:dyDescent="0.25">
      <c r="A14" s="7"/>
      <c r="B14" s="8"/>
      <c r="C14" s="7"/>
      <c r="D14" s="7"/>
      <c r="E14" s="7"/>
      <c r="F14" s="7"/>
      <c r="G14" s="7"/>
      <c r="H14" s="7"/>
      <c r="I14" s="7"/>
      <c r="J14" s="7"/>
      <c r="K14" s="7"/>
      <c r="L14" s="7"/>
    </row>
    <row r="15" spans="1:12" x14ac:dyDescent="0.25">
      <c r="A15" s="7"/>
      <c r="B15" s="7"/>
      <c r="C15" s="7"/>
      <c r="D15" s="7"/>
      <c r="E15" s="7"/>
      <c r="F15" s="7"/>
      <c r="G15" s="7"/>
      <c r="H15" s="7"/>
      <c r="I15" s="7"/>
      <c r="J15" s="7"/>
      <c r="K15" s="7"/>
      <c r="L15" s="7"/>
    </row>
    <row r="16" spans="1:12" x14ac:dyDescent="0.25">
      <c r="A16" s="7"/>
      <c r="B16" s="8" t="s">
        <v>17</v>
      </c>
      <c r="C16" s="7"/>
      <c r="D16" s="7"/>
      <c r="E16" s="7"/>
      <c r="F16" s="7"/>
      <c r="G16" s="7"/>
      <c r="H16" s="7"/>
      <c r="I16" s="7"/>
      <c r="J16" s="7"/>
      <c r="K16" s="7"/>
      <c r="L16" s="7"/>
    </row>
    <row r="17" spans="1:12" x14ac:dyDescent="0.25">
      <c r="A17" s="7"/>
      <c r="B17" s="7"/>
      <c r="C17" s="7"/>
      <c r="D17" s="7"/>
      <c r="E17" s="7"/>
      <c r="F17" s="7"/>
      <c r="G17" s="7"/>
      <c r="H17" s="7"/>
      <c r="I17" s="7"/>
      <c r="J17" s="7"/>
      <c r="K17" s="7"/>
      <c r="L17" s="7"/>
    </row>
    <row r="18" spans="1:12" x14ac:dyDescent="0.25">
      <c r="A18" s="7"/>
      <c r="B18" s="7"/>
      <c r="C18" s="7"/>
      <c r="D18" s="7"/>
      <c r="E18" s="7"/>
      <c r="F18" s="7"/>
      <c r="G18" s="7"/>
      <c r="H18" s="7"/>
      <c r="I18" s="7"/>
      <c r="J18" s="7"/>
      <c r="K18" s="7"/>
      <c r="L18" s="7"/>
    </row>
    <row r="19" spans="1:12" x14ac:dyDescent="0.25">
      <c r="A19" s="7"/>
      <c r="B19" s="7"/>
      <c r="C19" s="7"/>
      <c r="D19" s="7"/>
      <c r="E19" s="7"/>
      <c r="F19" s="7"/>
      <c r="G19" s="7"/>
      <c r="H19" s="7"/>
      <c r="I19" s="7"/>
      <c r="J19" s="7"/>
      <c r="K19" s="7"/>
      <c r="L19" s="7"/>
    </row>
    <row r="20" spans="1:12" x14ac:dyDescent="0.25">
      <c r="A20" s="7"/>
      <c r="B20" s="7"/>
      <c r="C20" s="7"/>
      <c r="D20" s="7"/>
      <c r="E20" s="7"/>
      <c r="F20" s="7"/>
      <c r="G20" s="7"/>
      <c r="H20" s="7"/>
      <c r="I20" s="7"/>
      <c r="J20" s="7"/>
      <c r="K20" s="7"/>
      <c r="L20" s="7"/>
    </row>
    <row r="21" spans="1:12" x14ac:dyDescent="0.25">
      <c r="A21" s="7"/>
      <c r="B21" s="7"/>
      <c r="C21" s="7"/>
      <c r="D21" s="7"/>
      <c r="E21" s="7"/>
      <c r="F21" s="7"/>
      <c r="G21" s="7"/>
      <c r="H21" s="7"/>
      <c r="I21" s="7"/>
      <c r="J21" s="7"/>
      <c r="K21" s="7"/>
      <c r="L21" s="7"/>
    </row>
    <row r="22" spans="1:12" x14ac:dyDescent="0.25">
      <c r="A22" s="7"/>
      <c r="B22" s="7"/>
      <c r="C22" s="7"/>
      <c r="D22" s="7"/>
      <c r="E22" s="7"/>
      <c r="F22" s="7"/>
      <c r="G22" s="7"/>
      <c r="H22" s="7"/>
      <c r="I22" s="7"/>
      <c r="J22" s="7"/>
      <c r="K22" s="7"/>
      <c r="L22" s="7"/>
    </row>
    <row r="23" spans="1:12" x14ac:dyDescent="0.25">
      <c r="A23" s="7"/>
      <c r="B23" s="7"/>
      <c r="C23" s="7"/>
      <c r="D23" s="7"/>
      <c r="E23" s="7"/>
      <c r="F23" s="7"/>
      <c r="G23" s="7"/>
      <c r="H23" s="7"/>
      <c r="I23" s="7"/>
      <c r="J23" s="7"/>
      <c r="K23" s="7"/>
      <c r="L23" s="7"/>
    </row>
    <row r="24" spans="1:12" x14ac:dyDescent="0.25">
      <c r="A24" s="7"/>
      <c r="B24" s="7"/>
      <c r="C24" s="7"/>
      <c r="D24" s="7"/>
      <c r="E24" s="7"/>
      <c r="F24" s="7"/>
      <c r="G24" s="7"/>
      <c r="H24" s="7"/>
      <c r="I24" s="7"/>
      <c r="J24" s="7"/>
      <c r="K24" s="7"/>
      <c r="L24" s="7"/>
    </row>
    <row r="25" spans="1:12" x14ac:dyDescent="0.25">
      <c r="A25" s="7"/>
      <c r="B25" s="7"/>
      <c r="C25" s="7"/>
      <c r="D25" s="7"/>
      <c r="E25" s="7"/>
      <c r="F25" s="7"/>
      <c r="G25" s="7"/>
      <c r="H25" s="7"/>
      <c r="I25" s="7"/>
      <c r="J25" s="7"/>
      <c r="K25" s="7"/>
      <c r="L25" s="7"/>
    </row>
    <row r="26" spans="1:12" x14ac:dyDescent="0.25">
      <c r="A26" s="7"/>
      <c r="B26" s="7"/>
      <c r="C26" s="7"/>
      <c r="D26" s="7"/>
      <c r="E26" s="7"/>
      <c r="F26" s="7"/>
      <c r="G26" s="7"/>
      <c r="H26" s="7"/>
      <c r="I26" s="7"/>
      <c r="J26" s="7"/>
      <c r="K26" s="7"/>
      <c r="L26" s="7"/>
    </row>
    <row r="27" spans="1:12" x14ac:dyDescent="0.25">
      <c r="A27" s="7"/>
      <c r="B27" s="7"/>
      <c r="C27" s="7"/>
      <c r="D27" s="7"/>
      <c r="E27" s="7"/>
      <c r="F27" s="7"/>
      <c r="G27" s="7"/>
      <c r="H27" s="7"/>
      <c r="I27" s="7"/>
      <c r="J27" s="7"/>
      <c r="K27" s="7"/>
      <c r="L27" s="7"/>
    </row>
    <row r="28" spans="1:12" x14ac:dyDescent="0.25">
      <c r="A28" s="7"/>
      <c r="B28" s="7"/>
      <c r="C28" s="7"/>
      <c r="D28" s="7"/>
      <c r="E28" s="7"/>
      <c r="F28" s="7"/>
      <c r="G28" s="7"/>
      <c r="H28" s="7"/>
      <c r="I28" s="7"/>
      <c r="J28" s="7"/>
      <c r="K28" s="7"/>
      <c r="L28" s="7"/>
    </row>
    <row r="29" spans="1:12" x14ac:dyDescent="0.25">
      <c r="A29" s="7"/>
      <c r="B29" s="7"/>
      <c r="C29" s="7"/>
      <c r="D29" s="7"/>
      <c r="E29" s="7"/>
      <c r="F29" s="7"/>
      <c r="G29" s="7"/>
      <c r="H29" s="7"/>
      <c r="I29" s="7"/>
      <c r="J29" s="7"/>
      <c r="K29" s="7"/>
      <c r="L29" s="7"/>
    </row>
    <row r="30" spans="1:12" x14ac:dyDescent="0.25">
      <c r="A30" s="7"/>
      <c r="B30" s="7"/>
      <c r="C30" s="7"/>
      <c r="D30" s="7"/>
      <c r="E30" s="7"/>
      <c r="F30" s="7"/>
      <c r="G30" s="7"/>
      <c r="H30" s="7"/>
      <c r="I30" s="7"/>
      <c r="J30" s="7"/>
      <c r="K30" s="7"/>
      <c r="L30" s="7"/>
    </row>
    <row r="31" spans="1:12" x14ac:dyDescent="0.25">
      <c r="A31" s="7"/>
      <c r="B31" s="7"/>
      <c r="C31" s="7"/>
      <c r="D31" s="7"/>
      <c r="E31" s="7"/>
      <c r="F31" s="7"/>
      <c r="G31" s="7"/>
      <c r="H31" s="7"/>
      <c r="I31" s="7"/>
      <c r="J31" s="7"/>
      <c r="K31" s="7"/>
      <c r="L31" s="7"/>
    </row>
    <row r="32" spans="1:12" x14ac:dyDescent="0.25">
      <c r="A32" s="7"/>
      <c r="B32" s="7"/>
      <c r="C32" s="7"/>
      <c r="D32" s="7"/>
      <c r="E32" s="7"/>
      <c r="F32" s="7"/>
      <c r="G32" s="7"/>
      <c r="H32" s="7"/>
      <c r="I32" s="7"/>
      <c r="J32" s="7"/>
      <c r="K32" s="7"/>
      <c r="L32" s="7"/>
    </row>
    <row r="33" spans="1:12" x14ac:dyDescent="0.25">
      <c r="A33" s="7"/>
      <c r="B33" s="8" t="s">
        <v>16</v>
      </c>
      <c r="C33" s="7"/>
      <c r="D33" s="7"/>
      <c r="E33" s="7"/>
      <c r="F33" s="7"/>
      <c r="G33" s="7"/>
      <c r="H33" s="7"/>
      <c r="I33" s="7"/>
      <c r="J33" s="7"/>
      <c r="K33" s="7"/>
      <c r="L33" s="7"/>
    </row>
    <row r="34" spans="1:12" x14ac:dyDescent="0.25">
      <c r="A34" s="7"/>
      <c r="B34" s="7"/>
      <c r="C34" s="7"/>
      <c r="D34" s="7"/>
      <c r="E34" s="7"/>
      <c r="F34" s="7"/>
      <c r="G34" s="7"/>
      <c r="H34" s="7"/>
      <c r="I34" s="7"/>
      <c r="J34" s="7"/>
      <c r="K34" s="7"/>
      <c r="L34" s="7"/>
    </row>
    <row r="35" spans="1:12" x14ac:dyDescent="0.25">
      <c r="A35" s="7"/>
      <c r="B35" s="7"/>
      <c r="C35" s="7"/>
      <c r="D35" s="7"/>
      <c r="E35" s="7"/>
      <c r="F35" s="7"/>
      <c r="G35" s="7"/>
      <c r="H35" s="7"/>
      <c r="I35" s="7"/>
      <c r="J35" s="7"/>
      <c r="K35" s="7"/>
      <c r="L35" s="7"/>
    </row>
    <row r="36" spans="1:12" x14ac:dyDescent="0.25">
      <c r="A36" s="7"/>
      <c r="B36" s="7"/>
      <c r="C36" s="7"/>
      <c r="D36" s="7"/>
      <c r="E36" s="7"/>
      <c r="F36" s="7"/>
      <c r="G36" s="7"/>
      <c r="H36" s="7"/>
      <c r="I36" s="7"/>
      <c r="J36" s="7"/>
      <c r="K36" s="7"/>
      <c r="L36" s="7"/>
    </row>
    <row r="37" spans="1:12" x14ac:dyDescent="0.25">
      <c r="A37" s="7"/>
      <c r="B37" s="7"/>
      <c r="C37" s="7"/>
      <c r="D37" s="7"/>
      <c r="E37" s="7"/>
      <c r="F37" s="7"/>
      <c r="G37" s="7"/>
      <c r="H37" s="7"/>
      <c r="I37" s="7"/>
      <c r="J37" s="7"/>
      <c r="K37" s="7"/>
      <c r="L37" s="7"/>
    </row>
    <row r="38" spans="1:12" x14ac:dyDescent="0.25">
      <c r="A38" s="7"/>
      <c r="B38" s="7"/>
      <c r="C38" s="7"/>
      <c r="D38" s="7"/>
      <c r="E38" s="7"/>
      <c r="F38" s="7"/>
      <c r="G38" s="7"/>
      <c r="H38" s="7"/>
      <c r="I38" s="7"/>
      <c r="J38" s="7"/>
      <c r="K38" s="7"/>
      <c r="L38" s="7"/>
    </row>
    <row r="39" spans="1:12" x14ac:dyDescent="0.25">
      <c r="A39" s="7"/>
      <c r="B39" s="7"/>
      <c r="C39" s="7"/>
      <c r="D39" s="7"/>
      <c r="E39" s="7"/>
      <c r="F39" s="7"/>
      <c r="G39" s="7"/>
      <c r="H39" s="7"/>
      <c r="I39" s="7"/>
      <c r="J39" s="7"/>
      <c r="K39" s="7"/>
      <c r="L39" s="7"/>
    </row>
    <row r="40" spans="1:12" x14ac:dyDescent="0.25">
      <c r="A40" s="7"/>
      <c r="B40" s="7"/>
      <c r="C40" s="7"/>
      <c r="D40" s="7"/>
      <c r="E40" s="7"/>
      <c r="F40" s="7"/>
      <c r="G40" s="7"/>
      <c r="H40" s="7"/>
      <c r="I40" s="7"/>
      <c r="J40" s="7"/>
      <c r="K40" s="7"/>
      <c r="L40" s="7"/>
    </row>
    <row r="41" spans="1:12" x14ac:dyDescent="0.25">
      <c r="A41" s="7"/>
      <c r="B41" s="7"/>
      <c r="C41" s="7"/>
      <c r="D41" s="7"/>
      <c r="E41" s="7"/>
      <c r="F41" s="7"/>
      <c r="G41" s="7"/>
      <c r="H41" s="7"/>
      <c r="I41" s="7"/>
      <c r="J41" s="7"/>
      <c r="K41" s="7"/>
      <c r="L41" s="7"/>
    </row>
    <row r="42" spans="1:12" x14ac:dyDescent="0.25">
      <c r="A42" s="7"/>
      <c r="B42" s="7"/>
      <c r="C42" s="7"/>
      <c r="D42" s="7"/>
      <c r="E42" s="7"/>
      <c r="F42" s="7"/>
      <c r="G42" s="7"/>
      <c r="H42" s="7"/>
      <c r="I42" s="7"/>
      <c r="J42" s="7"/>
      <c r="K42" s="7"/>
      <c r="L42" s="7"/>
    </row>
    <row r="43" spans="1:12" x14ac:dyDescent="0.25">
      <c r="A43" s="7"/>
      <c r="B43" s="7"/>
      <c r="C43" s="7"/>
      <c r="D43" s="7"/>
      <c r="E43" s="7"/>
      <c r="F43" s="7"/>
      <c r="G43" s="7"/>
      <c r="H43" s="7"/>
      <c r="I43" s="7"/>
      <c r="J43" s="7"/>
      <c r="K43" s="7"/>
      <c r="L43" s="7"/>
    </row>
    <row r="44" spans="1:12" x14ac:dyDescent="0.25">
      <c r="A44" s="7"/>
      <c r="B44" s="7"/>
      <c r="C44" s="7"/>
      <c r="D44" s="7"/>
      <c r="E44" s="7"/>
      <c r="F44" s="7"/>
      <c r="G44" s="7"/>
      <c r="H44" s="7"/>
      <c r="I44" s="7"/>
      <c r="J44" s="7"/>
      <c r="K44" s="7"/>
      <c r="L44" s="7"/>
    </row>
    <row r="45" spans="1:12" x14ac:dyDescent="0.25">
      <c r="A45" s="7"/>
      <c r="B45" s="7"/>
      <c r="C45" s="7"/>
      <c r="D45" s="7"/>
      <c r="E45" s="7"/>
      <c r="F45" s="7"/>
      <c r="G45" s="7"/>
      <c r="H45" s="7"/>
      <c r="I45" s="7"/>
      <c r="J45" s="7"/>
      <c r="K45" s="7"/>
      <c r="L45" s="7"/>
    </row>
    <row r="46" spans="1:12" x14ac:dyDescent="0.25">
      <c r="A46" s="7"/>
      <c r="B46" s="7"/>
      <c r="C46" s="7"/>
      <c r="D46" s="7"/>
      <c r="E46" s="7"/>
      <c r="F46" s="7"/>
      <c r="G46" s="7"/>
      <c r="H46" s="7"/>
      <c r="I46" s="7"/>
      <c r="J46" s="7"/>
      <c r="K46" s="7"/>
      <c r="L46" s="7"/>
    </row>
    <row r="47" spans="1:12" x14ac:dyDescent="0.25">
      <c r="A47" s="7"/>
      <c r="B47" s="7"/>
      <c r="C47" s="7"/>
      <c r="D47" s="7"/>
      <c r="E47" s="7"/>
      <c r="F47" s="7"/>
      <c r="G47" s="7"/>
      <c r="H47" s="7"/>
      <c r="I47" s="7"/>
      <c r="J47" s="7"/>
      <c r="K47" s="7"/>
      <c r="L47" s="7"/>
    </row>
    <row r="48" spans="1:12" x14ac:dyDescent="0.25">
      <c r="A48" s="7"/>
      <c r="B48" s="7"/>
      <c r="C48" s="7"/>
      <c r="D48" s="7"/>
      <c r="E48" s="7"/>
      <c r="F48" s="7"/>
      <c r="G48" s="7"/>
      <c r="H48" s="7"/>
      <c r="I48" s="7"/>
      <c r="J48" s="7"/>
      <c r="K48" s="7"/>
      <c r="L48" s="7"/>
    </row>
    <row r="49" spans="1:12" x14ac:dyDescent="0.25">
      <c r="A49" s="7"/>
      <c r="B49" s="7"/>
      <c r="C49" s="7"/>
      <c r="D49" s="7"/>
      <c r="E49" s="7"/>
      <c r="F49" s="7"/>
      <c r="G49" s="7"/>
      <c r="H49" s="7"/>
      <c r="I49" s="7"/>
      <c r="J49" s="7"/>
      <c r="K49" s="7"/>
      <c r="L49" s="7"/>
    </row>
    <row r="50" spans="1:12" x14ac:dyDescent="0.25">
      <c r="A50" s="7"/>
      <c r="B50" s="8" t="s">
        <v>15</v>
      </c>
      <c r="C50" s="7"/>
      <c r="D50" s="7"/>
      <c r="E50" s="7"/>
      <c r="F50" s="7"/>
      <c r="G50" s="7"/>
      <c r="H50" s="7"/>
      <c r="I50" s="7"/>
      <c r="J50" s="7"/>
      <c r="K50" s="7"/>
      <c r="L50" s="7"/>
    </row>
    <row r="51" spans="1:12" x14ac:dyDescent="0.25">
      <c r="A51" s="7"/>
      <c r="B51" s="7"/>
      <c r="C51" s="7"/>
      <c r="D51" s="7"/>
      <c r="E51" s="7"/>
      <c r="F51" s="7"/>
      <c r="G51" s="7"/>
      <c r="H51" s="7"/>
      <c r="I51" s="7"/>
      <c r="J51" s="7"/>
      <c r="K51" s="7"/>
      <c r="L51" s="7"/>
    </row>
    <row r="52" spans="1:12" x14ac:dyDescent="0.25">
      <c r="A52" s="7"/>
      <c r="B52" s="7"/>
      <c r="C52" s="7"/>
      <c r="D52" s="7"/>
      <c r="E52" s="7"/>
      <c r="F52" s="7"/>
      <c r="G52" s="7"/>
      <c r="H52" s="7"/>
      <c r="I52" s="7"/>
      <c r="J52" s="7"/>
      <c r="K52" s="7"/>
      <c r="L52" s="7"/>
    </row>
    <row r="53" spans="1:12" x14ac:dyDescent="0.25">
      <c r="A53" s="7"/>
      <c r="B53" s="7"/>
      <c r="C53" s="7"/>
      <c r="D53" s="7"/>
      <c r="E53" s="7"/>
      <c r="F53" s="7"/>
      <c r="G53" s="7"/>
      <c r="H53" s="7"/>
      <c r="I53" s="7"/>
      <c r="J53" s="7"/>
      <c r="K53" s="7"/>
      <c r="L53" s="7"/>
    </row>
    <row r="54" spans="1:12" x14ac:dyDescent="0.25">
      <c r="A54" s="7"/>
      <c r="B54" s="7"/>
      <c r="C54" s="7"/>
      <c r="D54" s="7"/>
      <c r="E54" s="7"/>
      <c r="F54" s="7"/>
      <c r="G54" s="7"/>
      <c r="H54" s="7"/>
      <c r="I54" s="7"/>
      <c r="J54" s="7"/>
      <c r="K54" s="7"/>
      <c r="L54" s="7"/>
    </row>
    <row r="55" spans="1:12" x14ac:dyDescent="0.25">
      <c r="A55" s="7"/>
      <c r="B55" s="7"/>
      <c r="C55" s="7"/>
      <c r="D55" s="7"/>
      <c r="E55" s="7"/>
      <c r="F55" s="7"/>
      <c r="G55" s="7"/>
      <c r="H55" s="7"/>
      <c r="I55" s="7"/>
      <c r="J55" s="7"/>
      <c r="K55" s="7"/>
      <c r="L55" s="7"/>
    </row>
    <row r="56" spans="1:12" x14ac:dyDescent="0.25">
      <c r="A56" s="7"/>
      <c r="B56" s="7"/>
      <c r="C56" s="7"/>
      <c r="D56" s="7"/>
      <c r="E56" s="7"/>
      <c r="F56" s="7"/>
      <c r="G56" s="7"/>
      <c r="H56" s="7"/>
      <c r="I56" s="7"/>
      <c r="J56" s="7"/>
      <c r="K56" s="7"/>
      <c r="L56" s="7"/>
    </row>
    <row r="57" spans="1:12" x14ac:dyDescent="0.25">
      <c r="A57" s="7"/>
      <c r="B57" s="7"/>
      <c r="C57" s="7"/>
      <c r="D57" s="7"/>
      <c r="E57" s="7"/>
      <c r="F57" s="7"/>
      <c r="G57" s="7"/>
      <c r="H57" s="7"/>
      <c r="I57" s="7"/>
      <c r="J57" s="7"/>
      <c r="K57" s="7"/>
      <c r="L57" s="7"/>
    </row>
    <row r="58" spans="1:12" x14ac:dyDescent="0.25">
      <c r="A58" s="7"/>
      <c r="B58" s="7"/>
      <c r="C58" s="7"/>
      <c r="D58" s="7"/>
      <c r="E58" s="7"/>
      <c r="F58" s="7"/>
      <c r="G58" s="7"/>
      <c r="H58" s="7"/>
      <c r="I58" s="7"/>
      <c r="J58" s="7"/>
      <c r="K58" s="7"/>
      <c r="L58" s="7"/>
    </row>
    <row r="59" spans="1:12" x14ac:dyDescent="0.25">
      <c r="A59" s="7"/>
      <c r="B59" s="7"/>
      <c r="C59" s="7"/>
      <c r="D59" s="7"/>
      <c r="E59" s="7"/>
      <c r="F59" s="7"/>
      <c r="G59" s="7"/>
      <c r="H59" s="7"/>
      <c r="I59" s="7"/>
      <c r="J59" s="7"/>
      <c r="K59" s="7"/>
      <c r="L59" s="7"/>
    </row>
    <row r="60" spans="1:12" x14ac:dyDescent="0.25">
      <c r="A60" s="7"/>
      <c r="B60" s="7"/>
      <c r="C60" s="7"/>
      <c r="D60" s="7"/>
      <c r="E60" s="7"/>
      <c r="F60" s="7"/>
      <c r="G60" s="7"/>
      <c r="H60" s="7"/>
      <c r="I60" s="7"/>
      <c r="J60" s="7"/>
      <c r="K60" s="7"/>
      <c r="L60" s="7"/>
    </row>
    <row r="61" spans="1:12" x14ac:dyDescent="0.25">
      <c r="A61" s="7"/>
      <c r="B61" s="7"/>
      <c r="C61" s="7"/>
      <c r="D61" s="7"/>
      <c r="E61" s="7"/>
      <c r="F61" s="7"/>
      <c r="G61" s="7"/>
      <c r="H61" s="7"/>
      <c r="I61" s="7"/>
      <c r="J61" s="7"/>
      <c r="K61" s="7"/>
      <c r="L61" s="7"/>
    </row>
    <row r="62" spans="1:12" x14ac:dyDescent="0.25">
      <c r="A62" s="7"/>
      <c r="B62" s="7"/>
      <c r="C62" s="7"/>
      <c r="D62" s="7"/>
      <c r="E62" s="7"/>
      <c r="F62" s="7"/>
      <c r="G62" s="7"/>
      <c r="H62" s="7"/>
      <c r="I62" s="7"/>
      <c r="J62" s="7"/>
      <c r="K62" s="7"/>
      <c r="L62" s="7"/>
    </row>
    <row r="63" spans="1:12" x14ac:dyDescent="0.25">
      <c r="A63" s="7"/>
      <c r="B63" s="7"/>
      <c r="C63" s="7"/>
      <c r="D63" s="7"/>
      <c r="E63" s="7"/>
      <c r="F63" s="7"/>
      <c r="G63" s="7"/>
      <c r="H63" s="7"/>
      <c r="I63" s="7"/>
      <c r="J63" s="7"/>
      <c r="K63" s="7"/>
      <c r="L63" s="7"/>
    </row>
    <row r="64" spans="1:12" x14ac:dyDescent="0.25">
      <c r="A64" s="7"/>
      <c r="B64" s="7"/>
      <c r="C64" s="7"/>
      <c r="D64" s="7"/>
      <c r="E64" s="7"/>
      <c r="F64" s="7"/>
      <c r="G64" s="7"/>
      <c r="H64" s="7"/>
      <c r="I64" s="7"/>
      <c r="J64" s="7"/>
      <c r="K64" s="7"/>
      <c r="L64" s="7"/>
    </row>
    <row r="65" spans="1:12" x14ac:dyDescent="0.25">
      <c r="A65" s="7"/>
      <c r="B65" s="7"/>
      <c r="C65" s="7"/>
      <c r="D65" s="7"/>
      <c r="E65" s="7"/>
      <c r="F65" s="7"/>
      <c r="G65" s="7"/>
      <c r="H65" s="7"/>
      <c r="I65" s="7"/>
      <c r="J65" s="7"/>
      <c r="K65" s="7"/>
      <c r="L65" s="7"/>
    </row>
    <row r="66" spans="1:12" x14ac:dyDescent="0.25">
      <c r="A66" s="7"/>
      <c r="B66" s="7"/>
      <c r="C66" s="7"/>
      <c r="D66" s="7"/>
      <c r="E66" s="7"/>
      <c r="F66" s="7"/>
      <c r="G66" s="7"/>
      <c r="H66" s="7"/>
      <c r="I66" s="7"/>
      <c r="J66" s="7"/>
      <c r="K66" s="7"/>
      <c r="L66" s="7"/>
    </row>
    <row r="67" spans="1:12" x14ac:dyDescent="0.25">
      <c r="A67" s="7"/>
      <c r="B67" s="7"/>
      <c r="C67" s="7"/>
      <c r="D67" s="7"/>
      <c r="E67" s="7"/>
      <c r="F67" s="7"/>
      <c r="G67" s="7"/>
      <c r="H67" s="7"/>
      <c r="I67" s="7"/>
      <c r="J67" s="7"/>
      <c r="K67" s="7"/>
      <c r="L67" s="7"/>
    </row>
    <row r="68" spans="1:12" x14ac:dyDescent="0.25">
      <c r="A68" s="7"/>
      <c r="B68" s="7"/>
      <c r="C68" s="7"/>
      <c r="D68" s="7"/>
      <c r="E68" s="7"/>
      <c r="F68" s="7"/>
      <c r="G68" s="7"/>
      <c r="H68" s="7"/>
      <c r="I68" s="7"/>
      <c r="J68" s="7"/>
      <c r="K68" s="7"/>
      <c r="L68" s="7"/>
    </row>
    <row r="69" spans="1:12" x14ac:dyDescent="0.25">
      <c r="A69" s="7"/>
      <c r="B69" s="7"/>
      <c r="C69" s="7"/>
      <c r="D69" s="7"/>
      <c r="E69" s="7"/>
      <c r="F69" s="7"/>
      <c r="G69" s="7"/>
      <c r="H69" s="7"/>
      <c r="I69" s="7"/>
      <c r="J69" s="7"/>
      <c r="K69" s="7"/>
      <c r="L69" s="7"/>
    </row>
    <row r="70" spans="1:12" x14ac:dyDescent="0.25">
      <c r="A70" s="7"/>
      <c r="B70" s="7"/>
      <c r="C70" s="7"/>
      <c r="D70" s="7"/>
      <c r="E70" s="7"/>
      <c r="F70" s="7"/>
      <c r="G70" s="7"/>
      <c r="H70" s="7"/>
      <c r="I70" s="7"/>
      <c r="J70" s="7"/>
      <c r="K70" s="7"/>
      <c r="L70" s="7"/>
    </row>
    <row r="71" spans="1:12" x14ac:dyDescent="0.25">
      <c r="A71" s="7"/>
      <c r="B71" s="7"/>
      <c r="C71" s="7"/>
      <c r="D71" s="7"/>
      <c r="E71" s="7"/>
      <c r="F71" s="7"/>
      <c r="G71" s="7"/>
      <c r="H71" s="7"/>
      <c r="I71" s="7"/>
      <c r="J71" s="7"/>
      <c r="K71" s="7"/>
      <c r="L71" s="7"/>
    </row>
    <row r="72" spans="1:12" x14ac:dyDescent="0.25">
      <c r="A72" s="7"/>
      <c r="B72" s="7"/>
      <c r="C72" s="7"/>
      <c r="D72" s="7"/>
      <c r="E72" s="7"/>
      <c r="F72" s="7"/>
      <c r="G72" s="7"/>
      <c r="H72" s="7"/>
      <c r="I72" s="7"/>
      <c r="J72" s="7"/>
      <c r="K72" s="7"/>
      <c r="L72" s="7"/>
    </row>
    <row r="73" spans="1:12" x14ac:dyDescent="0.25">
      <c r="A73" s="7"/>
      <c r="B73" s="7"/>
      <c r="C73" s="7"/>
      <c r="D73" s="7"/>
      <c r="E73" s="7"/>
      <c r="F73" s="7"/>
      <c r="G73" s="7"/>
      <c r="H73" s="7"/>
      <c r="I73" s="7"/>
      <c r="J73" s="7"/>
      <c r="K73" s="7"/>
      <c r="L73" s="7"/>
    </row>
  </sheetData>
  <mergeCells count="2">
    <mergeCell ref="A1:K3"/>
    <mergeCell ref="G5:J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project_excel_dashboard_view..</vt:lpstr>
      <vt:lpstr>project_excel_dashboard_view</vt:lpstr>
      <vt:lpstr>Summary</vt:lpstr>
      <vt:lpstr>YOY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Ojarikre Egbenine</cp:lastModifiedBy>
  <dcterms:created xsi:type="dcterms:W3CDTF">2025-11-14T11:35:43Z</dcterms:created>
  <dcterms:modified xsi:type="dcterms:W3CDTF">2025-11-19T14:13:01Z</dcterms:modified>
</cp:coreProperties>
</file>